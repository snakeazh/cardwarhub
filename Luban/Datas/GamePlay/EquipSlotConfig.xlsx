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90" windowHeight="1677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<sst xmlns="http://schemas.openxmlformats.org/spreadsheetml/2006/main" count="1849" uniqueCount="849">
  <si>
    <t>##var</t>
  </si>
  <si>
    <t>Id</t>
  </si>
  <si>
    <t>SlotType</t>
  </si>
  <si>
    <t>*SlotLevelList</t>
  </si>
  <si>
    <t>##+</t>
  </si>
  <si>
    <t>Level</t>
  </si>
  <si>
    <t>FightNum</t>
  </si>
  <si>
    <t>UpPhaseConsumes</t>
  </si>
  <si>
    <t>BaseAttributes</t>
  </si>
  <si>
    <t>ExtraAttributes</t>
  </si>
  <si>
    <t>BaseDesc</t>
  </si>
  <si>
    <t>ExtraDesc</t>
  </si>
  <si>
    <t>##</t>
  </si>
  <si>
    <t>部位ID</t>
  </si>
  <si>
    <t>部位类型</t>
  </si>
  <si>
    <t>等级</t>
  </si>
  <si>
    <t>战力</t>
  </si>
  <si>
    <t>锻造消耗</t>
  </si>
  <si>
    <t>基础属性列表</t>
  </si>
  <si>
    <t>槽位额外属性</t>
  </si>
  <si>
    <t>基础属性描述</t>
  </si>
  <si>
    <t>额外属性描述</t>
  </si>
  <si>
    <t>1001</t>
  </si>
  <si>
    <t>上衣</t>
  </si>
  <si>
    <t>英灵攻击力:5:数值:0:0|英灵魔法强度:5:数值:0:0</t>
  </si>
  <si>
    <t>攻击力、魔法强度+5</t>
  </si>
  <si>
    <t>英灵攻击力:8:数值:0:0|英灵魔法强度:8:数值:0:0</t>
  </si>
  <si>
    <t>攻击力、魔法强度+8</t>
  </si>
  <si>
    <t>英灵攻击力:11:数值:0:0|英灵魔法强度:11:数值:0:0</t>
  </si>
  <si>
    <t>攻击力、魔法强度+11</t>
  </si>
  <si>
    <t>英灵攻击力:14:数值:0:0|英灵魔法强度:14:数值:0:0</t>
  </si>
  <si>
    <t>攻击力、魔法强度+14</t>
  </si>
  <si>
    <t>英灵攻击力:17:数值:0:0|英灵魔法强度:17:数值:0:0</t>
  </si>
  <si>
    <t>攻击力、魔法强度+17</t>
  </si>
  <si>
    <t>英灵攻击力:20:数值:0:0|英灵魔法强度:20:数值:0:0</t>
  </si>
  <si>
    <t>攻击力、魔法强度+20</t>
  </si>
  <si>
    <t>英灵攻击力:23:数值:0:0|英灵魔法强度:23:数值:0:0</t>
  </si>
  <si>
    <t>攻击力、魔法强度+23</t>
  </si>
  <si>
    <t>英灵攻击力:26:数值:0:0|英灵魔法强度:26:数值:0:0</t>
  </si>
  <si>
    <t>攻击力、魔法强度+26</t>
  </si>
  <si>
    <t>英灵攻击力:29:数值:0:0|英灵魔法强度:29:数值:0:0</t>
  </si>
  <si>
    <t>攻击力、魔法强度+29</t>
  </si>
  <si>
    <t>英灵攻击力:32:数值:0:0|英灵魔法强度:32:数值:0:0</t>
  </si>
  <si>
    <t>射手系英灵伤害修正:0.02:数值:0:0</t>
  </si>
  <si>
    <t>攻击力、魔法强度+32</t>
  </si>
  <si>
    <t>射手英灵增伤+2%</t>
  </si>
  <si>
    <t>英灵攻击力:36:数值:0:0|英灵魔法强度:36:数值:0:0</t>
  </si>
  <si>
    <t>攻击力、魔法强度+36</t>
  </si>
  <si>
    <t>英灵攻击力:40:数值:0:0|英灵魔法强度:40:数值:0:0</t>
  </si>
  <si>
    <t>攻击力、魔法强度+40</t>
  </si>
  <si>
    <t>英灵攻击力:44:数值:0:0|英灵魔法强度:44:数值:0:0</t>
  </si>
  <si>
    <t>攻击力、魔法强度+44</t>
  </si>
  <si>
    <t>英灵攻击力:48:数值:0:0|英灵魔法强度:48:数值:0:0</t>
  </si>
  <si>
    <t>攻击力、魔法强度+48</t>
  </si>
  <si>
    <t>英灵攻击力:52:数值:0:0|英灵魔法强度:52:数值:0:0</t>
  </si>
  <si>
    <t>攻击力、魔法强度+52</t>
  </si>
  <si>
    <t>英灵攻击力:56:数值:0:0|英灵魔法强度:56:数值:0:0</t>
  </si>
  <si>
    <t>攻击力、魔法强度+56</t>
  </si>
  <si>
    <t>英灵攻击力:60:数值:0:0|英灵魔法强度:60:数值:0:0</t>
  </si>
  <si>
    <t>攻击力、魔法强度+60</t>
  </si>
  <si>
    <t>英灵攻击力:64:数值:0:0|英灵魔法强度:64:数值:0:0</t>
  </si>
  <si>
    <t>攻击力、魔法强度+64</t>
  </si>
  <si>
    <t>英灵攻击力:68:数值:0:0|英灵魔法强度:68:数值:0:0</t>
  </si>
  <si>
    <t>攻击力、魔法强度+68</t>
  </si>
  <si>
    <t>英灵攻击力:72:数值:0:0|英灵魔法强度:72:数值:0:0</t>
  </si>
  <si>
    <t>射手系英灵伤害修正:0.04:数值:0:0</t>
  </si>
  <si>
    <t>攻击力、魔法强度+72</t>
  </si>
  <si>
    <t>射手英灵增伤+4%</t>
  </si>
  <si>
    <t>英灵攻击力:77:数值:0:0|英灵魔法强度:77:数值:0:0</t>
  </si>
  <si>
    <t>攻击力、魔法强度+77</t>
  </si>
  <si>
    <t>英灵攻击力:82:数值:0:0|英灵魔法强度:82:数值:0:0</t>
  </si>
  <si>
    <t>攻击力、魔法强度+82</t>
  </si>
  <si>
    <t>英灵攻击力:87:数值:0:0|英灵魔法强度:87:数值:0:0</t>
  </si>
  <si>
    <t>攻击力、魔法强度+87</t>
  </si>
  <si>
    <t>英灵攻击力:92:数值:0:0|英灵魔法强度:92:数值:0:0</t>
  </si>
  <si>
    <t>攻击力、魔法强度+92</t>
  </si>
  <si>
    <t>英灵攻击力:97:数值:0:0|英灵魔法强度:97:数值:0:0</t>
  </si>
  <si>
    <t>攻击力、魔法强度+97</t>
  </si>
  <si>
    <t>英灵攻击力:102:数值:0:0|英灵魔法强度:102:数值:0:0</t>
  </si>
  <si>
    <t>攻击力、魔法强度+102</t>
  </si>
  <si>
    <t>英灵攻击力:107:数值:0:0|英灵魔法强度:107:数值:0:0</t>
  </si>
  <si>
    <t>攻击力、魔法强度+107</t>
  </si>
  <si>
    <t>英灵攻击力:112:数值:0:0|英灵魔法强度:112:数值:0:0</t>
  </si>
  <si>
    <t>攻击力、魔法强度+112</t>
  </si>
  <si>
    <t>英灵攻击力:117:数值:0:0|英灵魔法强度:117:数值:0:0</t>
  </si>
  <si>
    <t>攻击力、魔法强度+117</t>
  </si>
  <si>
    <t>英灵攻击力:122:数值:0:0|英灵魔法强度:122:数值:0:0</t>
  </si>
  <si>
    <t>射手系英灵伤害修正:0.06:数值:0:0</t>
  </si>
  <si>
    <t>攻击力、魔法强度+122</t>
  </si>
  <si>
    <t>射手英灵增伤+6%</t>
  </si>
  <si>
    <t>英灵攻击力:128:数值:0:0|英灵魔法强度:128:数值:0:0</t>
  </si>
  <si>
    <t>攻击力、魔法强度+128</t>
  </si>
  <si>
    <t>英灵攻击力:134:数值:0:0|英灵魔法强度:134:数值:0:0</t>
  </si>
  <si>
    <t>攻击力、魔法强度+134</t>
  </si>
  <si>
    <t>英灵攻击力:140:数值:0:0|英灵魔法强度:140:数值:0:0</t>
  </si>
  <si>
    <t>攻击力、魔法强度+140</t>
  </si>
  <si>
    <t>英灵攻击力:146:数值:0:0|英灵魔法强度:146:数值:0:0</t>
  </si>
  <si>
    <t>攻击力、魔法强度+146</t>
  </si>
  <si>
    <t>英灵攻击力:152:数值:0:0|英灵魔法强度:152:数值:0:0</t>
  </si>
  <si>
    <t>攻击力、魔法强度+152</t>
  </si>
  <si>
    <t>英灵攻击力:158:数值:0:0|英灵魔法强度:158:数值:0:0</t>
  </si>
  <si>
    <t>攻击力、魔法强度+158</t>
  </si>
  <si>
    <t>英灵攻击力:164:数值:0:0|英灵魔法强度:164:数值:0:0</t>
  </si>
  <si>
    <t>攻击力、魔法强度+164</t>
  </si>
  <si>
    <t>英灵攻击力:170:数值:0:0|英灵魔法强度:170:数值:0:0</t>
  </si>
  <si>
    <t>攻击力、魔法强度+170</t>
  </si>
  <si>
    <t>英灵攻击力:176:数值:0:0|英灵魔法强度:176:数值:0:0</t>
  </si>
  <si>
    <t>攻击力、魔法强度+176</t>
  </si>
  <si>
    <t>英灵攻击力:182:数值:0:0|英灵魔法强度:182:数值:0:0</t>
  </si>
  <si>
    <t>射手系英灵伤害修正:0.1:数值:0:0</t>
  </si>
  <si>
    <t>攻击力、魔法强度+182</t>
  </si>
  <si>
    <t>射手英灵增伤+10%</t>
  </si>
  <si>
    <t>英灵攻击力:189:数值:0:0|英灵魔法强度:189:数值:0:0</t>
  </si>
  <si>
    <t>攻击力、魔法强度+189</t>
  </si>
  <si>
    <t>英灵攻击力:196:数值:0:0|英灵魔法强度:196:数值:0:0</t>
  </si>
  <si>
    <t>攻击力、魔法强度+196</t>
  </si>
  <si>
    <t>英灵攻击力:203:数值:0:0|英灵魔法强度:203:数值:0:0</t>
  </si>
  <si>
    <t>攻击力、魔法强度+203</t>
  </si>
  <si>
    <t>英灵攻击力:210:数值:0:0|英灵魔法强度:210:数值:0:0</t>
  </si>
  <si>
    <t>攻击力、魔法强度+210</t>
  </si>
  <si>
    <t>英灵攻击力:217:数值:0:0|英灵魔法强度:217:数值:0:0</t>
  </si>
  <si>
    <t>攻击力、魔法强度+217</t>
  </si>
  <si>
    <t>英灵攻击力:224:数值:0:0|英灵魔法强度:224:数值:0:0</t>
  </si>
  <si>
    <t>攻击力、魔法强度+224</t>
  </si>
  <si>
    <t>英灵攻击力:231:数值:0:0|英灵魔法强度:231:数值:0:0</t>
  </si>
  <si>
    <t>攻击力、魔法强度+231</t>
  </si>
  <si>
    <t>英灵攻击力:238:数值:0:0|英灵魔法强度:238:数值:0:0</t>
  </si>
  <si>
    <t>攻击力、魔法强度+238</t>
  </si>
  <si>
    <t>英灵攻击力:245:数值:0:0|英灵魔法强度:245:数值:0:0</t>
  </si>
  <si>
    <t>攻击力、魔法强度+245</t>
  </si>
  <si>
    <t>英灵攻击力:252:数值:0:0|英灵魔法强度:252:数值:0:0</t>
  </si>
  <si>
    <t>射手系英灵伤害修正:0.12:数值:0:0</t>
  </si>
  <si>
    <t>攻击力、魔法强度+252</t>
  </si>
  <si>
    <t>射手英灵增伤+12%</t>
  </si>
  <si>
    <t>英灵攻击力:260:数值:0:0|英灵魔法强度:260:数值:0:0</t>
  </si>
  <si>
    <t>攻击力、魔法强度+260</t>
  </si>
  <si>
    <t>英灵攻击力:268:数值:0:0|英灵魔法强度:268:数值:0:0</t>
  </si>
  <si>
    <t>攻击力、魔法强度+268</t>
  </si>
  <si>
    <t>英灵攻击力:276:数值:0:0|英灵魔法强度:276:数值:0:0</t>
  </si>
  <si>
    <t>攻击力、魔法强度+276</t>
  </si>
  <si>
    <t>英灵攻击力:284:数值:0:0|英灵魔法强度:284:数值:0:0</t>
  </si>
  <si>
    <t>攻击力、魔法强度+284</t>
  </si>
  <si>
    <t>英灵攻击力:292:数值:0:0|英灵魔法强度:292:数值:0:0</t>
  </si>
  <si>
    <t>攻击力、魔法强度+292</t>
  </si>
  <si>
    <t>英灵攻击力:300:数值:0:0|英灵魔法强度:300:数值:0:0</t>
  </si>
  <si>
    <t>攻击力、魔法强度+300</t>
  </si>
  <si>
    <t>英灵攻击力:308:数值:0:0|英灵魔法强度:308:数值:0:0</t>
  </si>
  <si>
    <t>攻击力、魔法强度+308</t>
  </si>
  <si>
    <t>英灵攻击力:316:数值:0:0|英灵魔法强度:316:数值:0:0</t>
  </si>
  <si>
    <t>攻击力、魔法强度+316</t>
  </si>
  <si>
    <t>英灵攻击力:324:数值:0:0|英灵魔法强度:324:数值:0:0</t>
  </si>
  <si>
    <t>攻击力、魔法强度+324</t>
  </si>
  <si>
    <t>英灵攻击力:332:数值:0:0|英灵魔法强度:332:数值:0:0</t>
  </si>
  <si>
    <t>射手系英灵伤害修正:0.14:数值:0:0</t>
  </si>
  <si>
    <t>攻击力、魔法强度+332</t>
  </si>
  <si>
    <t>射手英灵增伤+14%</t>
  </si>
  <si>
    <t>英灵攻击力:341:数值:0:0|英灵魔法强度:341:数值:0:0</t>
  </si>
  <si>
    <t>攻击力、魔法强度+341</t>
  </si>
  <si>
    <t>英灵攻击力:350:数值:0:0|英灵魔法强度:350:数值:0:0</t>
  </si>
  <si>
    <t>攻击力、魔法强度+350</t>
  </si>
  <si>
    <t>英灵攻击力:359:数值:0:0|英灵魔法强度:359:数值:0:0</t>
  </si>
  <si>
    <t>攻击力、魔法强度+359</t>
  </si>
  <si>
    <t>英灵攻击力:368:数值:0:0|英灵魔法强度:368:数值:0:0</t>
  </si>
  <si>
    <t>攻击力、魔法强度+368</t>
  </si>
  <si>
    <t>英灵攻击力:377:数值:0:0|英灵魔法强度:377:数值:0:0</t>
  </si>
  <si>
    <t>攻击力、魔法强度+377</t>
  </si>
  <si>
    <t>英灵攻击力:386:数值:0:0|英灵魔法强度:386:数值:0:0</t>
  </si>
  <si>
    <t>攻击力、魔法强度+386</t>
  </si>
  <si>
    <t>英灵攻击力:395:数值:0:0|英灵魔法强度:395:数值:0:0</t>
  </si>
  <si>
    <t>攻击力、魔法强度+395</t>
  </si>
  <si>
    <t>英灵攻击力:404:数值:0:0|英灵魔法强度:404:数值:0:0</t>
  </si>
  <si>
    <t>攻击力、魔法强度+404</t>
  </si>
  <si>
    <t>英灵攻击力:413:数值:0:0|英灵魔法强度:413:数值:0:0</t>
  </si>
  <si>
    <t>攻击力、魔法强度+413</t>
  </si>
  <si>
    <t>英灵攻击力:422:数值:0:0|英灵魔法强度:422:数值:0:0</t>
  </si>
  <si>
    <t>射手系英灵伤害修正:0.16:数值:0:0</t>
  </si>
  <si>
    <t>攻击力、魔法强度+422</t>
  </si>
  <si>
    <t>射手英灵增伤+16%</t>
  </si>
  <si>
    <t>英灵攻击力:432:数值:0:0|英灵魔法强度:432:数值:0:0</t>
  </si>
  <si>
    <t>攻击力、魔法强度+432</t>
  </si>
  <si>
    <t>英灵攻击力:442:数值:0:0|英灵魔法强度:442:数值:0:0</t>
  </si>
  <si>
    <t>攻击力、魔法强度+442</t>
  </si>
  <si>
    <t>英灵攻击力:452:数值:0:0|英灵魔法强度:452:数值:0:0</t>
  </si>
  <si>
    <t>攻击力、魔法强度+452</t>
  </si>
  <si>
    <t>英灵攻击力:462:数值:0:0|英灵魔法强度:462:数值:0:0</t>
  </si>
  <si>
    <t>攻击力、魔法强度+462</t>
  </si>
  <si>
    <t>英灵攻击力:472:数值:0:0|英灵魔法强度:472:数值:0:0</t>
  </si>
  <si>
    <t>攻击力、魔法强度+472</t>
  </si>
  <si>
    <t>英灵攻击力:482:数值:0:0|英灵魔法强度:482:数值:0:0</t>
  </si>
  <si>
    <t>攻击力、魔法强度+482</t>
  </si>
  <si>
    <t>英灵攻击力:492:数值:0:0|英灵魔法强度:492:数值:0:0</t>
  </si>
  <si>
    <t>攻击力、魔法强度+492</t>
  </si>
  <si>
    <t>英灵攻击力:502:数值:0:0|英灵魔法强度:502:数值:0:0</t>
  </si>
  <si>
    <t>攻击力、魔法强度+502</t>
  </si>
  <si>
    <t>英灵攻击力:512:数值:0:0|英灵魔法强度:512:数值:0:0</t>
  </si>
  <si>
    <t>攻击力、魔法强度+512</t>
  </si>
  <si>
    <t>英灵攻击力:522:数值:0:0|英灵魔法强度:522:数值:0:0</t>
  </si>
  <si>
    <t>射手系英灵伤害修正:0.18:数值:0:0</t>
  </si>
  <si>
    <t>攻击力、魔法强度+522</t>
  </si>
  <si>
    <t>射手英灵增伤+18%</t>
  </si>
  <si>
    <t>英灵攻击力:533:数值:0:0|英灵魔法强度:533:数值:0:0</t>
  </si>
  <si>
    <t>攻击力、魔法强度+533</t>
  </si>
  <si>
    <t>英灵攻击力:544:数值:0:0|英灵魔法强度:544:数值:0:0</t>
  </si>
  <si>
    <t>攻击力、魔法强度+544</t>
  </si>
  <si>
    <t>英灵攻击力:555:数值:0:0|英灵魔法强度:555:数值:0:0</t>
  </si>
  <si>
    <t>攻击力、魔法强度+555</t>
  </si>
  <si>
    <t>英灵攻击力:566:数值:0:0|英灵魔法强度:566:数值:0:0</t>
  </si>
  <si>
    <t>攻击力、魔法强度+566</t>
  </si>
  <si>
    <t>英灵攻击力:577:数值:0:0|英灵魔法强度:577:数值:0:0</t>
  </si>
  <si>
    <t>攻击力、魔法强度+577</t>
  </si>
  <si>
    <t>英灵攻击力:588:数值:0:0|英灵魔法强度:588:数值:0:0</t>
  </si>
  <si>
    <t>攻击力、魔法强度+588</t>
  </si>
  <si>
    <t>英灵攻击力:599:数值:0:0|英灵魔法强度:599:数值:0:0</t>
  </si>
  <si>
    <t>攻击力、魔法强度+599</t>
  </si>
  <si>
    <t>英灵攻击力:610:数值:0:0|英灵魔法强度:610:数值:0:0</t>
  </si>
  <si>
    <t>攻击力、魔法强度+610</t>
  </si>
  <si>
    <t>英灵攻击力:621:数值:0:0|英灵魔法强度:621:数值:0:0</t>
  </si>
  <si>
    <t>攻击力、魔法强度+621</t>
  </si>
  <si>
    <t>英灵攻击力:632:数值:0:0|英灵魔法强度:632:数值:0:0</t>
  </si>
  <si>
    <t>射手系英灵伤害修正:0.2:数值:0:0</t>
  </si>
  <si>
    <t>攻击力、魔法强度+632</t>
  </si>
  <si>
    <t>射手英灵增伤+20%</t>
  </si>
  <si>
    <t>英灵攻击力:644:数值:0:0|英灵魔法强度:644:数值:0:0</t>
  </si>
  <si>
    <t>攻击力、魔法强度+644</t>
  </si>
  <si>
    <t>英灵攻击力:656:数值:0:0|英灵魔法强度:656:数值:0:0</t>
  </si>
  <si>
    <t>攻击力、魔法强度+656</t>
  </si>
  <si>
    <t>英灵攻击力:668:数值:0:0|英灵魔法强度:668:数值:0:0</t>
  </si>
  <si>
    <t>攻击力、魔法强度+668</t>
  </si>
  <si>
    <t>英灵攻击力:680:数值:0:0|英灵魔法强度:680:数值:0:0</t>
  </si>
  <si>
    <t>攻击力、魔法强度+680</t>
  </si>
  <si>
    <t>英灵攻击力:692:数值:0:0|英灵魔法强度:692:数值:0:0</t>
  </si>
  <si>
    <t>攻击力、魔法强度+692</t>
  </si>
  <si>
    <t>英灵攻击力:704:数值:0:0|英灵魔法强度:704:数值:0:0</t>
  </si>
  <si>
    <t>攻击力、魔法强度+704</t>
  </si>
  <si>
    <t>英灵攻击力:716:数值:0:0|英灵魔法强度:716:数值:0:0</t>
  </si>
  <si>
    <t>攻击力、魔法强度+716</t>
  </si>
  <si>
    <t>英灵攻击力:728:数值:0:0|英灵魔法强度:728:数值:0:0</t>
  </si>
  <si>
    <t>攻击力、魔法强度+728</t>
  </si>
  <si>
    <t>英灵攻击力:740:数值:0:0|英灵魔法强度:740:数值:0:0</t>
  </si>
  <si>
    <t>攻击力、魔法强度+740</t>
  </si>
  <si>
    <t>英灵攻击力:752:数值:0:0|英灵魔法强度:752:数值:0:0</t>
  </si>
  <si>
    <t>射手系英灵伤害修正:0.22:数值:0:0</t>
  </si>
  <si>
    <t>攻击力、魔法强度+752</t>
  </si>
  <si>
    <t>射手英灵增伤+22%</t>
  </si>
  <si>
    <t>1002</t>
  </si>
  <si>
    <t>下装</t>
  </si>
  <si>
    <t>1010001_100|1022002_1</t>
  </si>
  <si>
    <t>1010001_200|1022002_3</t>
  </si>
  <si>
    <t>1010001_300|1022002_5</t>
  </si>
  <si>
    <t>1010001_400|1022002_7</t>
  </si>
  <si>
    <t>1010001_500|1022002_9</t>
  </si>
  <si>
    <t>1010001_600|1022002_11</t>
  </si>
  <si>
    <t>1010001_700|1022002_13</t>
  </si>
  <si>
    <t>1010001_800|1022002_15</t>
  </si>
  <si>
    <t>1010001_900|1022002_17</t>
  </si>
  <si>
    <t>1010001_1000|1022002_19</t>
  </si>
  <si>
    <t>战士系英灵伤害修正:0.02:数值:0:0</t>
  </si>
  <si>
    <t>战士英灵增伤+2%</t>
  </si>
  <si>
    <t>1010001_1200|1022002_23</t>
  </si>
  <si>
    <t>1010001_1400|1022002_27</t>
  </si>
  <si>
    <t>1010001_1600|1022002_31</t>
  </si>
  <si>
    <t>1010001_1800|1022002_35</t>
  </si>
  <si>
    <t>1010001_2000|1022002_39</t>
  </si>
  <si>
    <t>1010001_2200|1022002_43</t>
  </si>
  <si>
    <t>1010001_2400|1022002_47</t>
  </si>
  <si>
    <t>1010001_2600|1022002_51</t>
  </si>
  <si>
    <t>1010001_2800|1022002_55</t>
  </si>
  <si>
    <t>1010001_3000|1022002_59</t>
  </si>
  <si>
    <t>战士系英灵伤害修正:0.04:数值:0:0</t>
  </si>
  <si>
    <t>战士英灵增伤+4%</t>
  </si>
  <si>
    <t>1010001_3300|1022002_64</t>
  </si>
  <si>
    <t>1010001_3600|1022002_69</t>
  </si>
  <si>
    <t>1010001_3900|1022002_74</t>
  </si>
  <si>
    <t>1010001_4200|1022002_79</t>
  </si>
  <si>
    <t>1010001_4500|1022002_84</t>
  </si>
  <si>
    <t>1010001_4800|1022002_89</t>
  </si>
  <si>
    <t>1010001_5100|1022002_94</t>
  </si>
  <si>
    <t>1010001_5400|1022002_99</t>
  </si>
  <si>
    <t>1010001_5700|1022002_104</t>
  </si>
  <si>
    <t>1010001_6000|1022002_109</t>
  </si>
  <si>
    <t>战士系英灵伤害修正:0.06:数值:0:0</t>
  </si>
  <si>
    <t>战士英灵增伤+6%</t>
  </si>
  <si>
    <t>1010001_6400|1022002_115</t>
  </si>
  <si>
    <t>1010001_6800|1022002_121</t>
  </si>
  <si>
    <t>1010001_7200|1022002_127</t>
  </si>
  <si>
    <t>1010001_7600|1022002_133</t>
  </si>
  <si>
    <t>1010001_8000|1022002_139</t>
  </si>
  <si>
    <t>1010001_8400|1022002_145</t>
  </si>
  <si>
    <t>1010001_8800|1022002_151</t>
  </si>
  <si>
    <t>1010001_9200|1022002_157</t>
  </si>
  <si>
    <t>1010001_9600|1022002_163</t>
  </si>
  <si>
    <t>1010001_10000|1022002_169</t>
  </si>
  <si>
    <t>战士系英灵伤害修正:0.1:数值:0:0</t>
  </si>
  <si>
    <t>战士英灵增伤+10%</t>
  </si>
  <si>
    <t>1010001_10500|1022002_176</t>
  </si>
  <si>
    <t>1010001_11000|1022002_183</t>
  </si>
  <si>
    <t>1010001_11500|1022002_190</t>
  </si>
  <si>
    <t>1010001_12000|1022002_197</t>
  </si>
  <si>
    <t>1010001_12500|1022002_204</t>
  </si>
  <si>
    <t>1010001_13000|1022002_211</t>
  </si>
  <si>
    <t>1010001_13500|1022002_218</t>
  </si>
  <si>
    <t>1010001_14000|1022002_225</t>
  </si>
  <si>
    <t>1010001_14500|1022002_232</t>
  </si>
  <si>
    <t>1010001_15000|1022002_239</t>
  </si>
  <si>
    <t>战士系英灵伤害修正:0.12:数值:0:0</t>
  </si>
  <si>
    <t>战士英灵增伤+12%</t>
  </si>
  <si>
    <t>1010001_15600|1022002_247</t>
  </si>
  <si>
    <t>1010001_16200|1022002_255</t>
  </si>
  <si>
    <t>1010001_16800|1022002_263</t>
  </si>
  <si>
    <t>1010001_17400|1022002_271</t>
  </si>
  <si>
    <t>1010001_18000|1022002_279</t>
  </si>
  <si>
    <t>1010001_18600|1022002_287</t>
  </si>
  <si>
    <t>1010001_19200|1022002_295</t>
  </si>
  <si>
    <t>1010001_19800|1022002_303</t>
  </si>
  <si>
    <t>1010001_20400|1022002_311</t>
  </si>
  <si>
    <t>1010001_21000|1022002_319</t>
  </si>
  <si>
    <t>战士系英灵伤害修正:0.14:数值:0:0</t>
  </si>
  <si>
    <t>战士英灵增伤+14%</t>
  </si>
  <si>
    <t>1010001_21700|1022002_328</t>
  </si>
  <si>
    <t>1010001_22400|1022002_337</t>
  </si>
  <si>
    <t>1010001_23100|1022002_346</t>
  </si>
  <si>
    <t>1010001_23800|1022002_355</t>
  </si>
  <si>
    <t>1010001_24500|1022002_364</t>
  </si>
  <si>
    <t>1010001_25200|1022002_373</t>
  </si>
  <si>
    <t>1010001_25900|1022002_382</t>
  </si>
  <si>
    <t>1010001_26600|1022002_391</t>
  </si>
  <si>
    <t>1010001_27300|1022002_400</t>
  </si>
  <si>
    <t>1010001_28000|1022002_409</t>
  </si>
  <si>
    <t>战士系英灵伤害修正:0.16:数值:0:0</t>
  </si>
  <si>
    <t>战士英灵增伤+16%</t>
  </si>
  <si>
    <t>1010001_28800|1022002_419</t>
  </si>
  <si>
    <t>1010001_29600|1022002_429</t>
  </si>
  <si>
    <t>1010001_30400|1022002_439</t>
  </si>
  <si>
    <t>1010001_31200|1022002_449</t>
  </si>
  <si>
    <t>1010001_32000|1022002_459</t>
  </si>
  <si>
    <t>1010001_32800|1022002_469</t>
  </si>
  <si>
    <t>1010001_33600|1022002_479</t>
  </si>
  <si>
    <t>1010001_34400|1022002_489</t>
  </si>
  <si>
    <t>1010001_35200|1022002_499</t>
  </si>
  <si>
    <t>1010001_36000|1022002_509</t>
  </si>
  <si>
    <t>战士系英灵伤害修正:0.18:数值:0:0</t>
  </si>
  <si>
    <t>战士英灵增伤+18%</t>
  </si>
  <si>
    <t>1010001_36900|1022002_520</t>
  </si>
  <si>
    <t>1010001_37800|1022002_531</t>
  </si>
  <si>
    <t>1010001_38700|1022002_542</t>
  </si>
  <si>
    <t>1010001_39600|1022002_553</t>
  </si>
  <si>
    <t>1010001_40500|1022002_564</t>
  </si>
  <si>
    <t>1010001_41400|1022002_575</t>
  </si>
  <si>
    <t>1010001_42300|1022002_586</t>
  </si>
  <si>
    <t>1010001_43200|1022002_597</t>
  </si>
  <si>
    <t>1010001_44100|1022002_608</t>
  </si>
  <si>
    <t>1010001_45000|1022002_619</t>
  </si>
  <si>
    <t>战士系英灵伤害修正:0.2:数值:0:0</t>
  </si>
  <si>
    <t>战士英灵增伤+20%</t>
  </si>
  <si>
    <t>1010001_46000|1022002_631</t>
  </si>
  <si>
    <t>1010001_47000|1022002_643</t>
  </si>
  <si>
    <t>1010001_48000|1022002_655</t>
  </si>
  <si>
    <t>1010001_49000|1022002_667</t>
  </si>
  <si>
    <t>1010001_50000|1022002_679</t>
  </si>
  <si>
    <t>1010001_51000|1022002_691</t>
  </si>
  <si>
    <t>1010001_52000|1022002_703</t>
  </si>
  <si>
    <t>1010001_53000|1022002_715</t>
  </si>
  <si>
    <t>1010001_54000|1022002_727</t>
  </si>
  <si>
    <t>战士系英灵伤害修正:0.22:数值:0:0</t>
  </si>
  <si>
    <t>战士英灵增伤+22%</t>
  </si>
  <si>
    <t>1003</t>
  </si>
  <si>
    <t>足具</t>
  </si>
  <si>
    <t>1010001_100|1022003_1</t>
  </si>
  <si>
    <t>1010001_200|1022003_3</t>
  </si>
  <si>
    <t>1010001_300|1022003_5</t>
  </si>
  <si>
    <t>1010001_400|1022003_7</t>
  </si>
  <si>
    <t>1010001_500|1022003_9</t>
  </si>
  <si>
    <t>1010001_600|1022003_11</t>
  </si>
  <si>
    <t>1010001_700|1022003_13</t>
  </si>
  <si>
    <t>1010001_800|1022003_15</t>
  </si>
  <si>
    <t>1010001_900|1022003_17</t>
  </si>
  <si>
    <t>1010001_1000|1022003_19</t>
  </si>
  <si>
    <t>法师系英灵伤害修正:0.02:数值:0:0</t>
  </si>
  <si>
    <t>法师英灵增伤+2%</t>
  </si>
  <si>
    <t>1010001_1200|1022003_23</t>
  </si>
  <si>
    <t>1010001_1400|1022003_27</t>
  </si>
  <si>
    <t>1010001_1600|1022003_31</t>
  </si>
  <si>
    <t>1010001_1800|1022003_35</t>
  </si>
  <si>
    <t>1010001_2000|1022003_39</t>
  </si>
  <si>
    <t>1010001_2200|1022003_43</t>
  </si>
  <si>
    <t>1010001_2400|1022003_47</t>
  </si>
  <si>
    <t>1010001_2600|1022003_51</t>
  </si>
  <si>
    <t>1010001_2800|1022003_55</t>
  </si>
  <si>
    <t>1010001_3000|1022003_59</t>
  </si>
  <si>
    <t>法师系英灵伤害修正:0.04:数值:0:0</t>
  </si>
  <si>
    <t>法师英灵增伤+4%</t>
  </si>
  <si>
    <t>1010001_3300|1022003_64</t>
  </si>
  <si>
    <t>1010001_3600|1022003_69</t>
  </si>
  <si>
    <t>1010001_3900|1022003_74</t>
  </si>
  <si>
    <t>1010001_4200|1022003_79</t>
  </si>
  <si>
    <t>1010001_4500|1022003_84</t>
  </si>
  <si>
    <t>1010001_4800|1022003_89</t>
  </si>
  <si>
    <t>1010001_5100|1022003_94</t>
  </si>
  <si>
    <t>1010001_5400|1022003_99</t>
  </si>
  <si>
    <t>1010001_5700|1022003_104</t>
  </si>
  <si>
    <t>1010001_6000|1022003_109</t>
  </si>
  <si>
    <t>法师系英灵伤害修正:0.06:数值:0:0</t>
  </si>
  <si>
    <t>法师英灵增伤+6%</t>
  </si>
  <si>
    <t>1010001_6400|1022003_115</t>
  </si>
  <si>
    <t>1010001_6800|1022003_121</t>
  </si>
  <si>
    <t>1010001_7200|1022003_127</t>
  </si>
  <si>
    <t>1010001_7600|1022003_133</t>
  </si>
  <si>
    <t>1010001_8000|1022003_139</t>
  </si>
  <si>
    <t>1010001_8400|1022003_145</t>
  </si>
  <si>
    <t>1010001_8800|1022003_151</t>
  </si>
  <si>
    <t>1010001_9200|1022003_157</t>
  </si>
  <si>
    <t>1010001_9600|1022003_163</t>
  </si>
  <si>
    <t>1010001_10000|1022003_169</t>
  </si>
  <si>
    <t>法师系英灵伤害修正:0.1:数值:0:0</t>
  </si>
  <si>
    <t>法师英灵增伤+10%</t>
  </si>
  <si>
    <t>1010001_10500|1022003_176</t>
  </si>
  <si>
    <t>1010001_11000|1022003_183</t>
  </si>
  <si>
    <t>1010001_11500|1022003_190</t>
  </si>
  <si>
    <t>1010001_12000|1022003_197</t>
  </si>
  <si>
    <t>1010001_12500|1022003_204</t>
  </si>
  <si>
    <t>1010001_13000|1022003_211</t>
  </si>
  <si>
    <t>1010001_13500|1022003_218</t>
  </si>
  <si>
    <t>1010001_14000|1022003_225</t>
  </si>
  <si>
    <t>1010001_14500|1022003_232</t>
  </si>
  <si>
    <t>1010001_15000|1022003_239</t>
  </si>
  <si>
    <t>法师系英灵伤害修正:0.12:数值:0:0</t>
  </si>
  <si>
    <t>法师英灵增伤+12%</t>
  </si>
  <si>
    <t>1010001_15600|1022003_247</t>
  </si>
  <si>
    <t>1010001_16200|1022003_255</t>
  </si>
  <si>
    <t>1010001_16800|1022003_263</t>
  </si>
  <si>
    <t>1010001_17400|1022003_271</t>
  </si>
  <si>
    <t>1010001_18000|1022003_279</t>
  </si>
  <si>
    <t>1010001_18600|1022003_287</t>
  </si>
  <si>
    <t>1010001_19200|1022003_295</t>
  </si>
  <si>
    <t>1010001_19800|1022003_303</t>
  </si>
  <si>
    <t>1010001_20400|1022003_311</t>
  </si>
  <si>
    <t>1010001_21000|1022003_319</t>
  </si>
  <si>
    <t>法师系英灵伤害修正:0.14:数值:0:0</t>
  </si>
  <si>
    <t>法师英灵增伤+14%</t>
  </si>
  <si>
    <t>1010001_21700|1022003_328</t>
  </si>
  <si>
    <t>1010001_22400|1022003_337</t>
  </si>
  <si>
    <t>1010001_23100|1022003_346</t>
  </si>
  <si>
    <t>1010001_23800|1022003_355</t>
  </si>
  <si>
    <t>1010001_24500|1022003_364</t>
  </si>
  <si>
    <t>1010001_25200|1022003_373</t>
  </si>
  <si>
    <t>1010001_25900|1022003_382</t>
  </si>
  <si>
    <t>1010001_26600|1022003_391</t>
  </si>
  <si>
    <t>1010001_27300|1022003_400</t>
  </si>
  <si>
    <t>1010001_28000|1022003_409</t>
  </si>
  <si>
    <t>法师系英灵伤害修正:0.16:数值:0:0</t>
  </si>
  <si>
    <t>法师英灵增伤+16%</t>
  </si>
  <si>
    <t>1010001_28800|1022003_419</t>
  </si>
  <si>
    <t>1010001_29600|1022003_429</t>
  </si>
  <si>
    <t>1010001_30400|1022003_439</t>
  </si>
  <si>
    <t>1010001_31200|1022003_449</t>
  </si>
  <si>
    <t>1010001_32000|1022003_459</t>
  </si>
  <si>
    <t>1010001_32800|1022003_469</t>
  </si>
  <si>
    <t>1010001_33600|1022003_479</t>
  </si>
  <si>
    <t>1010001_34400|1022003_489</t>
  </si>
  <si>
    <t>1010001_35200|1022003_499</t>
  </si>
  <si>
    <t>1010001_36000|1022003_509</t>
  </si>
  <si>
    <t>法师系英灵伤害修正:0.18:数值:0:0</t>
  </si>
  <si>
    <t>法师英灵增伤+18%</t>
  </si>
  <si>
    <t>1010001_36900|1022003_520</t>
  </si>
  <si>
    <t>1010001_37800|1022003_531</t>
  </si>
  <si>
    <t>1010001_38700|1022003_542</t>
  </si>
  <si>
    <t>1010001_39600|1022003_553</t>
  </si>
  <si>
    <t>1010001_40500|1022003_564</t>
  </si>
  <si>
    <t>1010001_41400|1022003_575</t>
  </si>
  <si>
    <t>1010001_42300|1022003_586</t>
  </si>
  <si>
    <t>1010001_43200|1022003_597</t>
  </si>
  <si>
    <t>1010001_44100|1022003_608</t>
  </si>
  <si>
    <t>1010001_45000|1022003_619</t>
  </si>
  <si>
    <t>法师系英灵伤害修正:0.2:数值:0:0</t>
  </si>
  <si>
    <t>法师英灵增伤+20%</t>
  </si>
  <si>
    <t>1010001_46000|1022003_631</t>
  </si>
  <si>
    <t>1010001_47000|1022003_643</t>
  </si>
  <si>
    <t>1010001_48000|1022003_655</t>
  </si>
  <si>
    <t>1010001_49000|1022003_667</t>
  </si>
  <si>
    <t>1010001_50000|1022003_679</t>
  </si>
  <si>
    <t>1010001_51000|1022003_691</t>
  </si>
  <si>
    <t>1010001_52000|1022003_703</t>
  </si>
  <si>
    <t>1010001_53000|1022003_715</t>
  </si>
  <si>
    <t>1010001_54000|1022003_727</t>
  </si>
  <si>
    <t>法师系英灵伤害修正:0.22:数值:0:0</t>
  </si>
  <si>
    <t>法师英灵增伤+22%</t>
  </si>
  <si>
    <t>1004</t>
  </si>
  <si>
    <t>手镯</t>
  </si>
  <si>
    <t>1010001_100|1022004_1</t>
  </si>
  <si>
    <t>1010001_200|1022004_3</t>
  </si>
  <si>
    <t>1010001_300|1022004_5</t>
  </si>
  <si>
    <t>1010001_400|1022004_7</t>
  </si>
  <si>
    <t>1010001_500|1022004_9</t>
  </si>
  <si>
    <t>1010001_600|1022004_11</t>
  </si>
  <si>
    <t>1010001_700|1022004_13</t>
  </si>
  <si>
    <t>1010001_800|1022004_15</t>
  </si>
  <si>
    <t>1010001_900|1022004_17</t>
  </si>
  <si>
    <t>1010001_1000|1022004_19</t>
  </si>
  <si>
    <t>刺客系英灵伤害修正:0.02:数值:0:0</t>
  </si>
  <si>
    <t>刺客英灵增伤+2%</t>
  </si>
  <si>
    <t>1010001_1200|1022004_23</t>
  </si>
  <si>
    <t>1010001_1400|1022004_27</t>
  </si>
  <si>
    <t>1010001_1600|1022004_31</t>
  </si>
  <si>
    <t>1010001_1800|1022004_35</t>
  </si>
  <si>
    <t>1010001_2000|1022004_39</t>
  </si>
  <si>
    <t>1010001_2200|1022004_43</t>
  </si>
  <si>
    <t>1010001_2400|1022004_47</t>
  </si>
  <si>
    <t>1010001_2600|1022004_51</t>
  </si>
  <si>
    <t>1010001_2800|1022004_55</t>
  </si>
  <si>
    <t>1010001_3000|1022004_59</t>
  </si>
  <si>
    <t>刺客系英灵伤害修正:0.04:数值:0:0</t>
  </si>
  <si>
    <t>刺客英灵增伤+4%</t>
  </si>
  <si>
    <t>1010001_3300|1022004_64</t>
  </si>
  <si>
    <t>1010001_3600|1022004_69</t>
  </si>
  <si>
    <t>1010001_3900|1022004_74</t>
  </si>
  <si>
    <t>1010001_4200|1022004_79</t>
  </si>
  <si>
    <t>1010001_4500|1022004_84</t>
  </si>
  <si>
    <t>1010001_4800|1022004_89</t>
  </si>
  <si>
    <t>1010001_5100|1022004_94</t>
  </si>
  <si>
    <t>1010001_5400|1022004_99</t>
  </si>
  <si>
    <t>1010001_5700|1022004_104</t>
  </si>
  <si>
    <t>1010001_6000|1022004_109</t>
  </si>
  <si>
    <t>刺客系英灵伤害修正:0.06:数值:0:0</t>
  </si>
  <si>
    <t>刺客英灵增伤+6%</t>
  </si>
  <si>
    <t>1010001_6400|1022004_115</t>
  </si>
  <si>
    <t>1010001_6800|1022004_121</t>
  </si>
  <si>
    <t>1010001_7200|1022004_127</t>
  </si>
  <si>
    <t>1010001_7600|1022004_133</t>
  </si>
  <si>
    <t>1010001_8000|1022004_139</t>
  </si>
  <si>
    <t>1010001_8400|1022004_145</t>
  </si>
  <si>
    <t>1010001_8800|1022004_151</t>
  </si>
  <si>
    <t>1010001_9200|1022004_157</t>
  </si>
  <si>
    <t>1010001_9600|1022004_163</t>
  </si>
  <si>
    <t>1010001_10000|1022004_169</t>
  </si>
  <si>
    <t>刺客系英灵伤害修正:0.1:数值:0:0</t>
  </si>
  <si>
    <t>刺客英灵增伤+10%</t>
  </si>
  <si>
    <t>1010001_10500|1022004_176</t>
  </si>
  <si>
    <t>1010001_11000|1022004_183</t>
  </si>
  <si>
    <t>1010001_11500|1022004_190</t>
  </si>
  <si>
    <t>1010001_12000|1022004_197</t>
  </si>
  <si>
    <t>1010001_12500|1022004_204</t>
  </si>
  <si>
    <t>1010001_13000|1022004_211</t>
  </si>
  <si>
    <t>1010001_13500|1022004_218</t>
  </si>
  <si>
    <t>1010001_14000|1022004_225</t>
  </si>
  <si>
    <t>1010001_14500|1022004_232</t>
  </si>
  <si>
    <t>1010001_15000|1022004_239</t>
  </si>
  <si>
    <t>刺客系英灵伤害修正:0.12:数值:0:0</t>
  </si>
  <si>
    <t>刺客英灵增伤+12%</t>
  </si>
  <si>
    <t>1010001_15600|1022004_247</t>
  </si>
  <si>
    <t>1010001_16200|1022004_255</t>
  </si>
  <si>
    <t>1010001_16800|1022004_263</t>
  </si>
  <si>
    <t>1010001_17400|1022004_271</t>
  </si>
  <si>
    <t>1010001_18000|1022004_279</t>
  </si>
  <si>
    <t>1010001_18600|1022004_287</t>
  </si>
  <si>
    <t>1010001_19200|1022004_295</t>
  </si>
  <si>
    <t>1010001_19800|1022004_303</t>
  </si>
  <si>
    <t>1010001_20400|1022004_311</t>
  </si>
  <si>
    <t>1010001_21000|1022004_319</t>
  </si>
  <si>
    <t>刺客系英灵伤害修正:0.14:数值:0:0</t>
  </si>
  <si>
    <t>刺客英灵增伤+14%</t>
  </si>
  <si>
    <t>1010001_21700|1022004_328</t>
  </si>
  <si>
    <t>1010001_22400|1022004_337</t>
  </si>
  <si>
    <t>1010001_23100|1022004_346</t>
  </si>
  <si>
    <t>1010001_23800|1022004_355</t>
  </si>
  <si>
    <t>1010001_24500|1022004_364</t>
  </si>
  <si>
    <t>1010001_25200|1022004_373</t>
  </si>
  <si>
    <t>1010001_25900|1022004_382</t>
  </si>
  <si>
    <t>1010001_26600|1022004_391</t>
  </si>
  <si>
    <t>1010001_27300|1022004_400</t>
  </si>
  <si>
    <t>1010001_28000|1022004_409</t>
  </si>
  <si>
    <t>刺客系英灵伤害修正:0.16:数值:0:0</t>
  </si>
  <si>
    <t>刺客英灵增伤+16%</t>
  </si>
  <si>
    <t>1010001_28800|1022004_419</t>
  </si>
  <si>
    <t>1010001_29600|1022004_429</t>
  </si>
  <si>
    <t>1010001_30400|1022004_439</t>
  </si>
  <si>
    <t>1010001_31200|1022004_449</t>
  </si>
  <si>
    <t>1010001_32000|1022004_459</t>
  </si>
  <si>
    <t>1010001_32800|1022004_469</t>
  </si>
  <si>
    <t>1010001_33600|1022004_479</t>
  </si>
  <si>
    <t>1010001_34400|1022004_489</t>
  </si>
  <si>
    <t>1010001_35200|1022004_499</t>
  </si>
  <si>
    <t>1010001_36000|1022004_509</t>
  </si>
  <si>
    <t>刺客系英灵伤害修正:0.18:数值:0:0</t>
  </si>
  <si>
    <t>刺客英灵增伤+18%</t>
  </si>
  <si>
    <t>1010001_36900|1022004_520</t>
  </si>
  <si>
    <t>1010001_37800|1022004_531</t>
  </si>
  <si>
    <t>1010001_38700|1022004_542</t>
  </si>
  <si>
    <t>1010001_39600|1022004_553</t>
  </si>
  <si>
    <t>1010001_40500|1022004_564</t>
  </si>
  <si>
    <t>1010001_41400|1022004_575</t>
  </si>
  <si>
    <t>1010001_42300|1022004_586</t>
  </si>
  <si>
    <t>1010001_43200|1022004_597</t>
  </si>
  <si>
    <t>1010001_44100|1022004_608</t>
  </si>
  <si>
    <t>1010001_45000|1022004_619</t>
  </si>
  <si>
    <t>刺客系英灵伤害修正:0.2:数值:0:0</t>
  </si>
  <si>
    <t>刺客英灵增伤+20%</t>
  </si>
  <si>
    <t>1010001_46000|1022004_631</t>
  </si>
  <si>
    <t>1010001_47000|1022004_643</t>
  </si>
  <si>
    <t>1010001_48000|1022004_655</t>
  </si>
  <si>
    <t>1010001_49000|1022004_667</t>
  </si>
  <si>
    <t>1010001_50000|1022004_679</t>
  </si>
  <si>
    <t>1010001_51000|1022004_691</t>
  </si>
  <si>
    <t>1010001_52000|1022004_703</t>
  </si>
  <si>
    <t>1010001_53000|1022004_715</t>
  </si>
  <si>
    <t>1010001_54000|1022004_727</t>
  </si>
  <si>
    <t>刺客系英灵伤害修正:0.22:数值:0:0</t>
  </si>
  <si>
    <t>刺客英灵增伤+22%</t>
  </si>
  <si>
    <t>1005</t>
  </si>
  <si>
    <t>项链</t>
  </si>
  <si>
    <t>1010001_100|1022005_1</t>
  </si>
  <si>
    <t>1010001_200|1022005_3</t>
  </si>
  <si>
    <t>1010001_300|1022005_5</t>
  </si>
  <si>
    <t>1010001_400|1022005_7</t>
  </si>
  <si>
    <t>1010001_500|1022005_9</t>
  </si>
  <si>
    <t>1010001_600|1022005_11</t>
  </si>
  <si>
    <t>1010001_700|1022005_13</t>
  </si>
  <si>
    <t>1010001_800|1022005_15</t>
  </si>
  <si>
    <t>1010001_900|1022005_17</t>
  </si>
  <si>
    <t>1010001_1000|1022005_19</t>
  </si>
  <si>
    <t>英灵最大生命值:0.02:百分比:0:0</t>
  </si>
  <si>
    <t>英灵最大生命值+2%</t>
  </si>
  <si>
    <t>1010001_1200|1022005_23</t>
  </si>
  <si>
    <t>1010001_1400|1022005_27</t>
  </si>
  <si>
    <t>1010001_1600|1022005_31</t>
  </si>
  <si>
    <t>1010001_1800|1022005_35</t>
  </si>
  <si>
    <t>1010001_2000|1022005_39</t>
  </si>
  <si>
    <t>1010001_2200|1022005_43</t>
  </si>
  <si>
    <t>1010001_2400|1022005_47</t>
  </si>
  <si>
    <t>1010001_2600|1022005_51</t>
  </si>
  <si>
    <t>1010001_2800|1022005_55</t>
  </si>
  <si>
    <t>1010001_3000|1022005_59</t>
  </si>
  <si>
    <t>英灵最大生命值:0.04:百分比:0:0</t>
  </si>
  <si>
    <t>英灵最大生命值+4%</t>
  </si>
  <si>
    <t>1010001_3300|1022005_64</t>
  </si>
  <si>
    <t>1010001_3600|1022005_69</t>
  </si>
  <si>
    <t>1010001_3900|1022005_74</t>
  </si>
  <si>
    <t>1010001_4200|1022005_79</t>
  </si>
  <si>
    <t>1010001_4500|1022005_84</t>
  </si>
  <si>
    <t>1010001_4800|1022005_89</t>
  </si>
  <si>
    <t>1010001_5100|1022005_94</t>
  </si>
  <si>
    <t>1010001_5400|1022005_99</t>
  </si>
  <si>
    <t>1010001_5700|1022005_104</t>
  </si>
  <si>
    <t>1010001_6000|1022005_109</t>
  </si>
  <si>
    <t>英灵最大生命值:0.06:百分比:0:0</t>
  </si>
  <si>
    <t>英灵最大生命值+6%</t>
  </si>
  <si>
    <t>1010001_6400|1022005_115</t>
  </si>
  <si>
    <t>1010001_6800|1022005_121</t>
  </si>
  <si>
    <t>1010001_7200|1022005_127</t>
  </si>
  <si>
    <t>1010001_7600|1022005_133</t>
  </si>
  <si>
    <t>1010001_8000|1022005_139</t>
  </si>
  <si>
    <t>1010001_8400|1022005_145</t>
  </si>
  <si>
    <t>1010001_8800|1022005_151</t>
  </si>
  <si>
    <t>1010001_9200|1022005_157</t>
  </si>
  <si>
    <t>1010001_9600|1022005_163</t>
  </si>
  <si>
    <t>1010001_10000|1022005_169</t>
  </si>
  <si>
    <t>英灵最大生命值:0.1:百分比:0:0</t>
  </si>
  <si>
    <t>英灵最大生命值+10%</t>
  </si>
  <si>
    <t>1010001_10500|1022005_176</t>
  </si>
  <si>
    <t>1010001_11000|1022005_183</t>
  </si>
  <si>
    <t>1010001_11500|1022005_190</t>
  </si>
  <si>
    <t>1010001_12000|1022005_197</t>
  </si>
  <si>
    <t>1010001_12500|1022005_204</t>
  </si>
  <si>
    <t>1010001_13000|1022005_211</t>
  </si>
  <si>
    <t>1010001_13500|1022005_218</t>
  </si>
  <si>
    <t>1010001_14000|1022005_225</t>
  </si>
  <si>
    <t>1010001_14500|1022005_232</t>
  </si>
  <si>
    <t>1010001_15000|1022005_239</t>
  </si>
  <si>
    <t>英灵最大生命值:0.12:百分比:0:0</t>
  </si>
  <si>
    <t>英灵最大生命值+12%</t>
  </si>
  <si>
    <t>1010001_15600|1022005_247</t>
  </si>
  <si>
    <t>1010001_16200|1022005_255</t>
  </si>
  <si>
    <t>1010001_16800|1022005_263</t>
  </si>
  <si>
    <t>1010001_17400|1022005_271</t>
  </si>
  <si>
    <t>1010001_18000|1022005_279</t>
  </si>
  <si>
    <t>1010001_18600|1022005_287</t>
  </si>
  <si>
    <t>1010001_19200|1022005_295</t>
  </si>
  <si>
    <t>1010001_19800|1022005_303</t>
  </si>
  <si>
    <t>1010001_20400|1022005_311</t>
  </si>
  <si>
    <t>1010001_21000|1022005_319</t>
  </si>
  <si>
    <t>英灵最大生命值:0.14:百分比:0:0</t>
  </si>
  <si>
    <t>英灵最大生命值+14%</t>
  </si>
  <si>
    <t>1010001_21700|1022005_328</t>
  </si>
  <si>
    <t>1010001_22400|1022005_337</t>
  </si>
  <si>
    <t>1010001_23100|1022005_346</t>
  </si>
  <si>
    <t>1010001_23800|1022005_355</t>
  </si>
  <si>
    <t>1010001_24500|1022005_364</t>
  </si>
  <si>
    <t>1010001_25200|1022005_373</t>
  </si>
  <si>
    <t>1010001_25900|1022005_382</t>
  </si>
  <si>
    <t>1010001_26600|1022005_391</t>
  </si>
  <si>
    <t>1010001_27300|1022005_400</t>
  </si>
  <si>
    <t>1010001_28000|1022005_409</t>
  </si>
  <si>
    <t>英灵最大生命值:0.16:百分比:0:0</t>
  </si>
  <si>
    <t>英灵最大生命值+16%</t>
  </si>
  <si>
    <t>1010001_28800|1022005_419</t>
  </si>
  <si>
    <t>1010001_29600|1022005_429</t>
  </si>
  <si>
    <t>1010001_30400|1022005_439</t>
  </si>
  <si>
    <t>1010001_31200|1022005_449</t>
  </si>
  <si>
    <t>1010001_32000|1022005_459</t>
  </si>
  <si>
    <t>1010001_32800|1022005_469</t>
  </si>
  <si>
    <t>1010001_33600|1022005_479</t>
  </si>
  <si>
    <t>1010001_34400|1022005_489</t>
  </si>
  <si>
    <t>1010001_35200|1022005_499</t>
  </si>
  <si>
    <t>1010001_36000|1022005_509</t>
  </si>
  <si>
    <t>英灵最大生命值:0.18:百分比:0:0</t>
  </si>
  <si>
    <t>英灵最大生命值+18%</t>
  </si>
  <si>
    <t>1010001_36900|1022005_520</t>
  </si>
  <si>
    <t>1010001_37800|1022005_531</t>
  </si>
  <si>
    <t>1010001_38700|1022005_542</t>
  </si>
  <si>
    <t>1010001_39600|1022005_553</t>
  </si>
  <si>
    <t>1010001_40500|1022005_564</t>
  </si>
  <si>
    <t>1010001_41400|1022005_575</t>
  </si>
  <si>
    <t>1010001_42300|1022005_586</t>
  </si>
  <si>
    <t>1010001_43200|1022005_597</t>
  </si>
  <si>
    <t>1010001_44100|1022005_608</t>
  </si>
  <si>
    <t>1010001_45000|1022005_619</t>
  </si>
  <si>
    <t>英灵最大生命值:0.2:百分比:0:0</t>
  </si>
  <si>
    <t>英灵最大生命值+20%</t>
  </si>
  <si>
    <t>1010001_46000|1022005_631</t>
  </si>
  <si>
    <t>1010001_47000|1022005_643</t>
  </si>
  <si>
    <t>1010001_48000|1022005_655</t>
  </si>
  <si>
    <t>1010001_49000|1022005_667</t>
  </si>
  <si>
    <t>1010001_50000|1022005_679</t>
  </si>
  <si>
    <t>1010001_51000|1022005_691</t>
  </si>
  <si>
    <t>1010001_52000|1022005_703</t>
  </si>
  <si>
    <t>1010001_53000|1022005_715</t>
  </si>
  <si>
    <t>1010001_54000|1022005_727</t>
  </si>
  <si>
    <t>英灵最大生命值:0.22:百分比:0:0</t>
  </si>
  <si>
    <t>英灵最大生命值+22%</t>
  </si>
  <si>
    <t>1006</t>
  </si>
  <si>
    <t>耳环</t>
  </si>
  <si>
    <t>1010001_100|1022006_1</t>
  </si>
  <si>
    <t>1010001_200|1022006_3</t>
  </si>
  <si>
    <t>1010001_300|1022006_5</t>
  </si>
  <si>
    <t>1010001_400|1022006_7</t>
  </si>
  <si>
    <t>1010001_500|1022006_9</t>
  </si>
  <si>
    <t>1010001_600|1022006_11</t>
  </si>
  <si>
    <t>1010001_700|1022006_13</t>
  </si>
  <si>
    <t>1010001_800|1022006_15</t>
  </si>
  <si>
    <t>1010001_900|1022006_17</t>
  </si>
  <si>
    <t>1010001_1000|1022006_19</t>
  </si>
  <si>
    <t>英灵暴击值:60:数值:0:0</t>
  </si>
  <si>
    <t>英灵暴击值+60</t>
  </si>
  <si>
    <t>1010001_1200|1022006_23</t>
  </si>
  <si>
    <t>1010001_1400|1022006_27</t>
  </si>
  <si>
    <t>1010001_1600|1022006_31</t>
  </si>
  <si>
    <t>1010001_1800|1022006_35</t>
  </si>
  <si>
    <t>1010001_2000|1022006_39</t>
  </si>
  <si>
    <t>1010001_2200|1022006_43</t>
  </si>
  <si>
    <t>1010001_2400|1022006_47</t>
  </si>
  <si>
    <t>1010001_2600|1022006_51</t>
  </si>
  <si>
    <t>1010001_2800|1022006_55</t>
  </si>
  <si>
    <t>1010001_3000|1022006_59</t>
  </si>
  <si>
    <t>英灵暴击值:120:数值:0:0</t>
  </si>
  <si>
    <t>英灵暴击值+120</t>
  </si>
  <si>
    <t>1010001_3300|1022006_64</t>
  </si>
  <si>
    <t>1010001_3600|1022006_69</t>
  </si>
  <si>
    <t>1010001_3900|1022006_74</t>
  </si>
  <si>
    <t>1010001_4200|1022006_79</t>
  </si>
  <si>
    <t>1010001_4500|1022006_84</t>
  </si>
  <si>
    <t>1010001_4800|1022006_89</t>
  </si>
  <si>
    <t>1010001_5100|1022006_94</t>
  </si>
  <si>
    <t>1010001_5400|1022006_99</t>
  </si>
  <si>
    <t>1010001_5700|1022006_104</t>
  </si>
  <si>
    <t>1010001_6000|1022006_109</t>
  </si>
  <si>
    <t>英灵暴击值:180:数值:0:0</t>
  </si>
  <si>
    <t>英灵暴击值+180</t>
  </si>
  <si>
    <t>1010001_6400|1022006_115</t>
  </si>
  <si>
    <t>1010001_6800|1022006_121</t>
  </si>
  <si>
    <t>1010001_7200|1022006_127</t>
  </si>
  <si>
    <t>1010001_7600|1022006_133</t>
  </si>
  <si>
    <t>1010001_8000|1022006_139</t>
  </si>
  <si>
    <t>1010001_8400|1022006_145</t>
  </si>
  <si>
    <t>1010001_8800|1022006_151</t>
  </si>
  <si>
    <t>1010001_9200|1022006_157</t>
  </si>
  <si>
    <t>1010001_9600|1022006_163</t>
  </si>
  <si>
    <t>1010001_10000|1022006_169</t>
  </si>
  <si>
    <t>英灵暴击值:240:数值:0:0</t>
  </si>
  <si>
    <t>英灵暴击值+240</t>
  </si>
  <si>
    <t>1010001_10500|1022006_176</t>
  </si>
  <si>
    <t>1010001_11000|1022006_183</t>
  </si>
  <si>
    <t>1010001_11500|1022006_190</t>
  </si>
  <si>
    <t>1010001_12000|1022006_197</t>
  </si>
  <si>
    <t>1010001_12500|1022006_204</t>
  </si>
  <si>
    <t>1010001_13000|1022006_211</t>
  </si>
  <si>
    <t>1010001_13500|1022006_218</t>
  </si>
  <si>
    <t>1010001_14000|1022006_225</t>
  </si>
  <si>
    <t>1010001_14500|1022006_232</t>
  </si>
  <si>
    <t>1010001_15000|1022006_239</t>
  </si>
  <si>
    <t>英灵暴击值:300:数值:0:0</t>
  </si>
  <si>
    <t>英灵暴击值+300</t>
  </si>
  <si>
    <t>1010001_15600|1022006_247</t>
  </si>
  <si>
    <t>1010001_16200|1022006_255</t>
  </si>
  <si>
    <t>1010001_16800|1022006_263</t>
  </si>
  <si>
    <t>1010001_17400|1022006_271</t>
  </si>
  <si>
    <t>1010001_18000|1022006_279</t>
  </si>
  <si>
    <t>1010001_18600|1022006_287</t>
  </si>
  <si>
    <t>1010001_19200|1022006_295</t>
  </si>
  <si>
    <t>1010001_19800|1022006_303</t>
  </si>
  <si>
    <t>1010001_20400|1022006_311</t>
  </si>
  <si>
    <t>1010001_21000|1022006_319</t>
  </si>
  <si>
    <t>英灵暴击值:360:数值:0:0</t>
  </si>
  <si>
    <t>英灵暴击值+360</t>
  </si>
  <si>
    <t>1010001_21700|1022006_328</t>
  </si>
  <si>
    <t>1010001_22400|1022006_337</t>
  </si>
  <si>
    <t>1010001_23100|1022006_346</t>
  </si>
  <si>
    <t>1010001_23800|1022006_355</t>
  </si>
  <si>
    <t>1010001_24500|1022006_364</t>
  </si>
  <si>
    <t>1010001_25200|1022006_373</t>
  </si>
  <si>
    <t>1010001_25900|1022006_382</t>
  </si>
  <si>
    <t>1010001_26600|1022006_391</t>
  </si>
  <si>
    <t>1010001_27300|1022006_400</t>
  </si>
  <si>
    <t>1010001_28000|1022006_409</t>
  </si>
  <si>
    <t>英灵暴击值:420:数值:0:0</t>
  </si>
  <si>
    <t>英灵暴击值+420</t>
  </si>
  <si>
    <t>1010001_28800|1022006_419</t>
  </si>
  <si>
    <t>1010001_29600|1022006_429</t>
  </si>
  <si>
    <t>1010001_30400|1022006_439</t>
  </si>
  <si>
    <t>1010001_31200|1022006_449</t>
  </si>
  <si>
    <t>1010001_32000|1022006_459</t>
  </si>
  <si>
    <t>1010001_32800|1022006_469</t>
  </si>
  <si>
    <t>1010001_33600|1022006_479</t>
  </si>
  <si>
    <t>1010001_34400|1022006_489</t>
  </si>
  <si>
    <t>1010001_35200|1022006_499</t>
  </si>
  <si>
    <t>1010001_36000|1022006_509</t>
  </si>
  <si>
    <t>英灵暴击值:480:数值:0:0</t>
  </si>
  <si>
    <t>英灵暴击值+480</t>
  </si>
  <si>
    <t>1010001_36900|1022006_520</t>
  </si>
  <si>
    <t>1010001_37800|1022006_531</t>
  </si>
  <si>
    <t>1010001_38700|1022006_542</t>
  </si>
  <si>
    <t>1010001_39600|1022006_553</t>
  </si>
  <si>
    <t>1010001_40500|1022006_564</t>
  </si>
  <si>
    <t>1010001_41400|1022006_575</t>
  </si>
  <si>
    <t>1010001_42300|1022006_586</t>
  </si>
  <si>
    <t>1010001_43200|1022006_597</t>
  </si>
  <si>
    <t>1010001_44100|1022006_608</t>
  </si>
  <si>
    <t>1010001_45000|1022006_619</t>
  </si>
  <si>
    <t>英灵暴击值:540:数值:0:0</t>
  </si>
  <si>
    <t>英灵暴击值+540</t>
  </si>
  <si>
    <t>1010001_46000|1022006_631</t>
  </si>
  <si>
    <t>1010001_47000|1022006_643</t>
  </si>
  <si>
    <t>1010001_48000|1022006_655</t>
  </si>
  <si>
    <t>1010001_49000|1022006_667</t>
  </si>
  <si>
    <t>1010001_50000|1022006_679</t>
  </si>
  <si>
    <t>1010001_51000|1022006_691</t>
  </si>
  <si>
    <t>1010001_52000|1022006_703</t>
  </si>
  <si>
    <t>1010001_53000|1022006_715</t>
  </si>
  <si>
    <t>1010001_54000|1022006_727</t>
  </si>
  <si>
    <t>英灵暴击值:600:数值:0:0</t>
  </si>
  <si>
    <t>英灵暴击值+600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</si>
</sst>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0"/>
  <sheetViews>
    <sheetView tabSelected="1" workbookViewId="0">
      <pane ySplit="3" topLeftCell="A595" activePane="bottomLeft" state="frozen"/>
      <selection/>
      <selection pane="bottomLeft" activeCell="F618" sqref="F618"/>
    </sheetView>
  </sheetViews>
  <sheetFormatPr defaultColWidth="9" defaultRowHeight="13.5"/>
  <cols>
    <col min="1" max="1" width="9" style="1"/>
    <col min="2" max="2" width="9.25" style="1"/>
    <col min="3" max="3" width="9.425" style="1" customWidth="1"/>
    <col min="4" max="4" width="3.375" style="1" customWidth="1"/>
    <col min="5" max="5" width="6.875" style="1" customWidth="1"/>
    <col min="6" max="6" width="9.25" style="2" customWidth="1"/>
    <col min="7" max="7" width="33.5" style="1" customWidth="1"/>
    <col min="8" max="8" width="38.125" style="1" customWidth="1"/>
    <col min="9" max="9" width="36.375" style="1" customWidth="1"/>
    <col min="10" max="10" width="21.5" style="1" customWidth="1"/>
    <col min="11" max="11" width="49.3166666666667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E1" s="3" t="s">
        <v>3</v>
      </c>
      <c r="G1" s="3"/>
      <c r="H1" s="3"/>
      <c r="I1" s="3"/>
      <c r="J1" s="3"/>
      <c r="K1" s="3"/>
    </row>
    <row r="2" spans="1:11">
      <c r="A2" s="2" t="s">
        <v>4</v>
      </c>
      <c r="B2" s="2"/>
      <c r="C2" s="2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  <c r="K2" s="1" t="s">
        <v>11</v>
      </c>
    </row>
    <row r="3" spans="1:11">
      <c r="A3" s="2" t="s">
        <v>12</v>
      </c>
      <c r="B3" s="2" t="s">
        <v>13</v>
      </c>
      <c r="C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1" t="s">
        <v>19</v>
      </c>
      <c r="J3" s="1" t="s">
        <v>20</v>
      </c>
      <c r="K3" s="1" t="s">
        <v>21</v>
      </c>
    </row>
    <row r="4" spans="1:11">
      <c r="A4" s="2"/>
      <c r="B4" s="2"/>
      <c r="C4" s="2"/>
    </row>
    <row r="5" spans="1:11">
      <c r="B5" s="2" t="s">
        <v>22</v>
      </c>
      <c r="C5" s="2" t="s">
        <v>23</v>
      </c>
      <c r="E5" s="1">
        <v>1</v>
      </c>
      <c r="F5" s="4">
        <v>5</v>
      </c>
      <c r="G5" s="1" t="str">
        <f>"1010001_"&amp;(100+(ROW(A2)-2)*100)&amp;"|1022001_"&amp;(1+(ROW(A2)-2)*2)&amp;""</f>
        <v>1010001_100|1022001_1</v>
      </c>
      <c r="H5" s="5" t="s">
        <v>24</v>
      </c>
      <c r="J5" s="1" t="s">
        <v>25</v>
      </c>
      <c r="K5"/>
    </row>
    <row r="6" spans="1:11">
      <c r="E6" s="1">
        <v>2</v>
      </c>
      <c r="F6" s="4">
        <f t="shared" ref="F6:F14" si="0">F5+3</f>
        <v>8</v>
      </c>
      <c r="G6" s="1" t="str">
        <f t="shared" ref="G6:G14" si="1">"1010001_"&amp;(100+(ROW(A3)-2)*100)&amp;"|1022001_"&amp;(1+(ROW(A3)-2)*2)&amp;""</f>
        <v>1010001_200|1022001_3</v>
      </c>
      <c r="H6" s="5" t="s">
        <v>26</v>
      </c>
      <c r="J6" s="1" t="s">
        <v>27</v>
      </c>
      <c r="K6"/>
    </row>
    <row r="7" spans="1:11">
      <c r="E7" s="1">
        <v>3</v>
      </c>
      <c r="F7" s="4">
        <f t="shared" si="0"/>
        <v>11</v>
      </c>
      <c r="G7" s="1" t="str">
        <f t="shared" si="1"/>
        <v>1010001_300|1022001_5</v>
      </c>
      <c r="H7" s="5" t="s">
        <v>28</v>
      </c>
      <c r="J7" s="1" t="s">
        <v>29</v>
      </c>
      <c r="K7"/>
    </row>
    <row r="8" spans="1:11">
      <c r="E8" s="1">
        <v>4</v>
      </c>
      <c r="F8" s="4">
        <f t="shared" si="0"/>
        <v>14</v>
      </c>
      <c r="G8" s="1" t="str">
        <f t="shared" si="1"/>
        <v>1010001_400|1022001_7</v>
      </c>
      <c r="H8" s="5" t="s">
        <v>30</v>
      </c>
      <c r="J8" s="1" t="s">
        <v>31</v>
      </c>
      <c r="K8"/>
    </row>
    <row r="9" spans="1:11">
      <c r="E9" s="1">
        <v>5</v>
      </c>
      <c r="F9" s="4">
        <f t="shared" si="0"/>
        <v>17</v>
      </c>
      <c r="G9" s="1" t="str">
        <f t="shared" si="1"/>
        <v>1010001_500|1022001_9</v>
      </c>
      <c r="H9" s="5" t="s">
        <v>32</v>
      </c>
      <c r="J9" s="1" t="s">
        <v>33</v>
      </c>
      <c r="K9"/>
    </row>
    <row r="10" spans="1:11">
      <c r="B10" s="2"/>
      <c r="E10" s="1">
        <v>6</v>
      </c>
      <c r="F10" s="4">
        <f t="shared" si="0"/>
        <v>20</v>
      </c>
      <c r="G10" s="1" t="str">
        <f t="shared" si="1"/>
        <v>1010001_600|1022001_11</v>
      </c>
      <c r="H10" s="5" t="s">
        <v>34</v>
      </c>
      <c r="J10" s="1" t="s">
        <v>35</v>
      </c>
      <c r="K10"/>
    </row>
    <row r="11" spans="1:11">
      <c r="B11" s="2"/>
      <c r="E11" s="1">
        <v>7</v>
      </c>
      <c r="F11" s="4">
        <f t="shared" si="0"/>
        <v>23</v>
      </c>
      <c r="G11" s="1" t="str">
        <f t="shared" si="1"/>
        <v>1010001_700|1022001_13</v>
      </c>
      <c r="H11" s="5" t="s">
        <v>36</v>
      </c>
      <c r="J11" s="1" t="s">
        <v>37</v>
      </c>
      <c r="K11"/>
    </row>
    <row r="12" spans="1:11">
      <c r="B12" s="2"/>
      <c r="E12" s="1">
        <v>8</v>
      </c>
      <c r="F12" s="4">
        <f t="shared" si="0"/>
        <v>26</v>
      </c>
      <c r="G12" s="1" t="str">
        <f t="shared" si="1"/>
        <v>1010001_800|1022001_15</v>
      </c>
      <c r="H12" s="5" t="s">
        <v>38</v>
      </c>
      <c r="J12" s="1" t="s">
        <v>39</v>
      </c>
      <c r="K12"/>
    </row>
    <row r="13" spans="1:11">
      <c r="B13" s="2"/>
      <c r="E13" s="1">
        <v>9</v>
      </c>
      <c r="F13" s="4">
        <f t="shared" si="0"/>
        <v>29</v>
      </c>
      <c r="G13" s="1" t="str">
        <f t="shared" si="1"/>
        <v>1010001_900|1022001_17</v>
      </c>
      <c r="H13" s="5" t="s">
        <v>40</v>
      </c>
      <c r="J13" s="1" t="s">
        <v>41</v>
      </c>
      <c r="K13"/>
    </row>
    <row r="14" spans="1:11">
      <c r="B14" s="2"/>
      <c r="E14" s="1">
        <v>10</v>
      </c>
      <c r="F14" s="4">
        <f t="shared" si="0"/>
        <v>32</v>
      </c>
      <c r="G14" s="1" t="str">
        <f t="shared" si="1"/>
        <v>1010001_1000|1022001_19</v>
      </c>
      <c r="H14" s="5" t="s">
        <v>42</v>
      </c>
      <c r="I14" s="6" t="s">
        <v>43</v>
      </c>
      <c r="J14" s="1" t="s">
        <v>44</v>
      </c>
      <c r="K14" s="1" t="s">
        <v>45</v>
      </c>
    </row>
    <row r="15" spans="1:11">
      <c r="B15" s="2"/>
      <c r="E15" s="1">
        <v>11</v>
      </c>
      <c r="F15" s="4">
        <f t="shared" ref="F15:F24" si="2">F14+4</f>
        <v>36</v>
      </c>
      <c r="G15" s="1" t="str">
        <f>"1010001_"&amp;(1200+(ROW(A2)-2)*200)&amp;"|1022001_"&amp;(23+(ROW(A2)-2)*4)&amp;""</f>
        <v>1010001_1200|1022001_23</v>
      </c>
      <c r="H15" s="5" t="s">
        <v>46</v>
      </c>
      <c r="I15"/>
      <c r="J15" s="1" t="s">
        <v>47</v>
      </c>
      <c r="K15"/>
    </row>
    <row r="16" spans="1:11">
      <c r="B16" s="2"/>
      <c r="E16" s="1">
        <v>12</v>
      </c>
      <c r="F16" s="4">
        <f t="shared" si="2"/>
        <v>40</v>
      </c>
      <c r="G16" s="1" t="str">
        <f t="shared" ref="G16:G24" si="3">"1010001_"&amp;(1200+(ROW(A3)-2)*200)&amp;"|1022001_"&amp;(23+(ROW(A3)-2)*4)&amp;""</f>
        <v>1010001_1400|1022001_27</v>
      </c>
      <c r="H16" s="5" t="s">
        <v>48</v>
      </c>
      <c r="I16"/>
      <c r="J16" s="1" t="s">
        <v>49</v>
      </c>
      <c r="K16"/>
    </row>
    <row r="17" spans="2:11">
      <c r="B17" s="2"/>
      <c r="E17" s="1">
        <v>13</v>
      </c>
      <c r="F17" s="4">
        <f t="shared" si="2"/>
        <v>44</v>
      </c>
      <c r="G17" s="1" t="str">
        <f t="shared" si="3"/>
        <v>1010001_1600|1022001_31</v>
      </c>
      <c r="H17" s="5" t="s">
        <v>50</v>
      </c>
      <c r="I17"/>
      <c r="J17" s="1" t="s">
        <v>51</v>
      </c>
      <c r="K17"/>
    </row>
    <row r="18" spans="2:11">
      <c r="B18" s="2"/>
      <c r="E18" s="1">
        <v>14</v>
      </c>
      <c r="F18" s="4">
        <f t="shared" si="2"/>
        <v>48</v>
      </c>
      <c r="G18" s="1" t="str">
        <f t="shared" si="3"/>
        <v>1010001_1800|1022001_35</v>
      </c>
      <c r="H18" s="5" t="s">
        <v>52</v>
      </c>
      <c r="I18"/>
      <c r="J18" s="1" t="s">
        <v>53</v>
      </c>
      <c r="K18"/>
    </row>
    <row r="19" spans="2:11">
      <c r="B19" s="2"/>
      <c r="E19" s="1">
        <v>15</v>
      </c>
      <c r="F19" s="4">
        <f t="shared" si="2"/>
        <v>52</v>
      </c>
      <c r="G19" s="1" t="str">
        <f t="shared" si="3"/>
        <v>1010001_2000|1022001_39</v>
      </c>
      <c r="H19" s="5" t="s">
        <v>54</v>
      </c>
      <c r="I19"/>
      <c r="J19" s="1" t="s">
        <v>55</v>
      </c>
      <c r="K19"/>
    </row>
    <row r="20" spans="2:11">
      <c r="B20" s="2"/>
      <c r="E20" s="1">
        <v>16</v>
      </c>
      <c r="F20" s="4">
        <f t="shared" si="2"/>
        <v>56</v>
      </c>
      <c r="G20" s="1" t="str">
        <f t="shared" si="3"/>
        <v>1010001_2200|1022001_43</v>
      </c>
      <c r="H20" s="5" t="s">
        <v>56</v>
      </c>
      <c r="I20"/>
      <c r="J20" s="1" t="s">
        <v>57</v>
      </c>
      <c r="K20"/>
    </row>
    <row r="21" spans="2:11">
      <c r="B21" s="2"/>
      <c r="E21" s="1">
        <v>17</v>
      </c>
      <c r="F21" s="4">
        <f t="shared" si="2"/>
        <v>60</v>
      </c>
      <c r="G21" s="1" t="str">
        <f t="shared" si="3"/>
        <v>1010001_2400|1022001_47</v>
      </c>
      <c r="H21" s="5" t="s">
        <v>58</v>
      </c>
      <c r="I21"/>
      <c r="J21" s="1" t="s">
        <v>59</v>
      </c>
      <c r="K21"/>
    </row>
    <row r="22" spans="2:11">
      <c r="B22" s="2"/>
      <c r="E22" s="1">
        <v>18</v>
      </c>
      <c r="F22" s="4">
        <f t="shared" si="2"/>
        <v>64</v>
      </c>
      <c r="G22" s="1" t="str">
        <f t="shared" si="3"/>
        <v>1010001_2600|1022001_51</v>
      </c>
      <c r="H22" s="5" t="s">
        <v>60</v>
      </c>
      <c r="I22"/>
      <c r="J22" s="1" t="s">
        <v>61</v>
      </c>
      <c r="K22"/>
    </row>
    <row r="23" spans="2:11">
      <c r="B23" s="2"/>
      <c r="E23" s="1">
        <v>19</v>
      </c>
      <c r="F23" s="4">
        <f t="shared" si="2"/>
        <v>68</v>
      </c>
      <c r="G23" s="1" t="str">
        <f t="shared" si="3"/>
        <v>1010001_2800|1022001_55</v>
      </c>
      <c r="H23" s="5" t="s">
        <v>62</v>
      </c>
      <c r="J23" s="1" t="s">
        <v>63</v>
      </c>
      <c r="K23"/>
    </row>
    <row r="24" spans="2:11">
      <c r="B24" s="2"/>
      <c r="E24" s="1">
        <v>20</v>
      </c>
      <c r="F24" s="4">
        <f t="shared" si="2"/>
        <v>72</v>
      </c>
      <c r="G24" s="1" t="str">
        <f t="shared" si="3"/>
        <v>1010001_3000|1022001_59</v>
      </c>
      <c r="H24" s="5" t="s">
        <v>64</v>
      </c>
      <c r="I24" s="6" t="s">
        <v>65</v>
      </c>
      <c r="J24" s="1" t="s">
        <v>66</v>
      </c>
      <c r="K24" s="1" t="s">
        <v>67</v>
      </c>
    </row>
    <row r="25" spans="2:11">
      <c r="B25" s="2"/>
      <c r="E25" s="1">
        <v>21</v>
      </c>
      <c r="F25" s="4">
        <f t="shared" ref="F25:F34" si="4">F24+5</f>
        <v>77</v>
      </c>
      <c r="G25" s="1" t="str">
        <f>"1010001_"&amp;(3300+(ROW(A2)-2)*300)&amp;"|1022001_"&amp;(64+(ROW(A2)-2)*5)&amp;""</f>
        <v>1010001_3300|1022001_64</v>
      </c>
      <c r="H25" s="5" t="s">
        <v>68</v>
      </c>
      <c r="I25"/>
      <c r="J25" s="1" t="s">
        <v>69</v>
      </c>
      <c r="K25"/>
    </row>
    <row r="26" spans="2:11">
      <c r="B26" s="2"/>
      <c r="E26" s="1">
        <v>22</v>
      </c>
      <c r="F26" s="4">
        <f t="shared" si="4"/>
        <v>82</v>
      </c>
      <c r="G26" s="1" t="str">
        <f t="shared" ref="G26:G34" si="5">"1010001_"&amp;(3300+(ROW(A3)-2)*300)&amp;"|1022001_"&amp;(64+(ROW(A3)-2)*5)&amp;""</f>
        <v>1010001_3600|1022001_69</v>
      </c>
      <c r="H26" s="5" t="s">
        <v>70</v>
      </c>
      <c r="I26"/>
      <c r="J26" s="1" t="s">
        <v>71</v>
      </c>
      <c r="K26"/>
    </row>
    <row r="27" spans="2:11">
      <c r="B27" s="2"/>
      <c r="E27" s="1">
        <v>23</v>
      </c>
      <c r="F27" s="4">
        <f t="shared" si="4"/>
        <v>87</v>
      </c>
      <c r="G27" s="1" t="str">
        <f t="shared" si="5"/>
        <v>1010001_3900|1022001_74</v>
      </c>
      <c r="H27" s="5" t="s">
        <v>72</v>
      </c>
      <c r="I27"/>
      <c r="J27" s="1" t="s">
        <v>73</v>
      </c>
      <c r="K27"/>
    </row>
    <row r="28" spans="2:11">
      <c r="B28" s="2"/>
      <c r="E28" s="1">
        <v>24</v>
      </c>
      <c r="F28" s="4">
        <f t="shared" si="4"/>
        <v>92</v>
      </c>
      <c r="G28" s="1" t="str">
        <f t="shared" si="5"/>
        <v>1010001_4200|1022001_79</v>
      </c>
      <c r="H28" s="5" t="s">
        <v>74</v>
      </c>
      <c r="I28"/>
      <c r="J28" s="1" t="s">
        <v>75</v>
      </c>
      <c r="K28"/>
    </row>
    <row r="29" spans="2:11">
      <c r="B29" s="2"/>
      <c r="E29" s="1">
        <v>25</v>
      </c>
      <c r="F29" s="4">
        <f t="shared" si="4"/>
        <v>97</v>
      </c>
      <c r="G29" s="1" t="str">
        <f t="shared" si="5"/>
        <v>1010001_4500|1022001_84</v>
      </c>
      <c r="H29" s="5" t="s">
        <v>76</v>
      </c>
      <c r="I29"/>
      <c r="J29" s="1" t="s">
        <v>77</v>
      </c>
      <c r="K29"/>
    </row>
    <row r="30" spans="2:11">
      <c r="B30" s="2"/>
      <c r="E30" s="1">
        <v>26</v>
      </c>
      <c r="F30" s="4">
        <f t="shared" si="4"/>
        <v>102</v>
      </c>
      <c r="G30" s="1" t="str">
        <f t="shared" si="5"/>
        <v>1010001_4800|1022001_89</v>
      </c>
      <c r="H30" s="5" t="s">
        <v>78</v>
      </c>
      <c r="I30"/>
      <c r="J30" s="1" t="s">
        <v>79</v>
      </c>
      <c r="K30"/>
    </row>
    <row r="31" spans="2:11">
      <c r="B31" s="2"/>
      <c r="E31" s="1">
        <v>27</v>
      </c>
      <c r="F31" s="4">
        <f t="shared" si="4"/>
        <v>107</v>
      </c>
      <c r="G31" s="1" t="str">
        <f t="shared" si="5"/>
        <v>1010001_5100|1022001_94</v>
      </c>
      <c r="H31" s="5" t="s">
        <v>80</v>
      </c>
      <c r="I31"/>
      <c r="J31" s="1" t="s">
        <v>81</v>
      </c>
      <c r="K31"/>
    </row>
    <row r="32" spans="2:11">
      <c r="B32" s="2"/>
      <c r="E32" s="1">
        <v>28</v>
      </c>
      <c r="F32" s="4">
        <f t="shared" si="4"/>
        <v>112</v>
      </c>
      <c r="G32" s="1" t="str">
        <f t="shared" si="5"/>
        <v>1010001_5400|1022001_99</v>
      </c>
      <c r="H32" s="5" t="s">
        <v>82</v>
      </c>
      <c r="I32"/>
      <c r="J32" s="1" t="s">
        <v>83</v>
      </c>
      <c r="K32"/>
    </row>
    <row r="33" spans="2:11">
      <c r="B33" s="2"/>
      <c r="E33" s="1">
        <v>29</v>
      </c>
      <c r="F33" s="4">
        <f t="shared" si="4"/>
        <v>117</v>
      </c>
      <c r="G33" s="1" t="str">
        <f t="shared" si="5"/>
        <v>1010001_5700|1022001_104</v>
      </c>
      <c r="H33" s="5" t="s">
        <v>84</v>
      </c>
      <c r="J33" s="1" t="s">
        <v>85</v>
      </c>
      <c r="K33"/>
    </row>
    <row r="34" spans="2:11">
      <c r="B34" s="2"/>
      <c r="E34" s="1">
        <v>30</v>
      </c>
      <c r="F34" s="4">
        <f t="shared" si="4"/>
        <v>122</v>
      </c>
      <c r="G34" s="1" t="str">
        <f t="shared" si="5"/>
        <v>1010001_6000|1022001_109</v>
      </c>
      <c r="H34" s="5" t="s">
        <v>86</v>
      </c>
      <c r="I34" s="6" t="s">
        <v>87</v>
      </c>
      <c r="J34" s="1" t="s">
        <v>88</v>
      </c>
      <c r="K34" s="1" t="s">
        <v>89</v>
      </c>
    </row>
    <row r="35" spans="2:11">
      <c r="B35" s="2"/>
      <c r="E35" s="1">
        <v>31</v>
      </c>
      <c r="F35" s="4">
        <f t="shared" ref="F35:F44" si="6">F34+6</f>
        <v>128</v>
      </c>
      <c r="G35" s="1" t="str">
        <f>"1010001_"&amp;(6400+(ROW(A2)-2)*400)&amp;"|1022001_"&amp;(115+(ROW(A2)-2)*6)&amp;""</f>
        <v>1010001_6400|1022001_115</v>
      </c>
      <c r="H35" s="5" t="s">
        <v>90</v>
      </c>
      <c r="I35"/>
      <c r="J35" s="1" t="s">
        <v>91</v>
      </c>
      <c r="K35"/>
    </row>
    <row r="36" spans="2:11">
      <c r="B36" s="2"/>
      <c r="E36" s="1">
        <v>32</v>
      </c>
      <c r="F36" s="4">
        <f t="shared" si="6"/>
        <v>134</v>
      </c>
      <c r="G36" s="1" t="str">
        <f t="shared" ref="G36:G44" si="7">"1010001_"&amp;(6400+(ROW(A3)-2)*400)&amp;"|1022001_"&amp;(115+(ROW(A3)-2)*6)&amp;""</f>
        <v>1010001_6800|1022001_121</v>
      </c>
      <c r="H36" s="5" t="s">
        <v>92</v>
      </c>
      <c r="I36"/>
      <c r="J36" s="1" t="s">
        <v>93</v>
      </c>
      <c r="K36"/>
    </row>
    <row r="37" spans="2:11">
      <c r="B37" s="2"/>
      <c r="E37" s="1">
        <v>33</v>
      </c>
      <c r="F37" s="4">
        <f t="shared" si="6"/>
        <v>140</v>
      </c>
      <c r="G37" s="1" t="str">
        <f t="shared" si="7"/>
        <v>1010001_7200|1022001_127</v>
      </c>
      <c r="H37" s="5" t="s">
        <v>94</v>
      </c>
      <c r="I37"/>
      <c r="J37" s="1" t="s">
        <v>95</v>
      </c>
      <c r="K37"/>
    </row>
    <row r="38" spans="2:11">
      <c r="B38" s="2"/>
      <c r="E38" s="1">
        <v>34</v>
      </c>
      <c r="F38" s="4">
        <f t="shared" si="6"/>
        <v>146</v>
      </c>
      <c r="G38" s="1" t="str">
        <f t="shared" si="7"/>
        <v>1010001_7600|1022001_133</v>
      </c>
      <c r="H38" s="5" t="s">
        <v>96</v>
      </c>
      <c r="I38"/>
      <c r="J38" s="1" t="s">
        <v>97</v>
      </c>
      <c r="K38"/>
    </row>
    <row r="39" spans="2:11">
      <c r="B39" s="2"/>
      <c r="E39" s="1">
        <v>35</v>
      </c>
      <c r="F39" s="4">
        <f t="shared" si="6"/>
        <v>152</v>
      </c>
      <c r="G39" s="1" t="str">
        <f t="shared" si="7"/>
        <v>1010001_8000|1022001_139</v>
      </c>
      <c r="H39" s="5" t="s">
        <v>98</v>
      </c>
      <c r="I39"/>
      <c r="J39" s="1" t="s">
        <v>99</v>
      </c>
      <c r="K39"/>
    </row>
    <row r="40" spans="2:11">
      <c r="B40" s="2"/>
      <c r="E40" s="1">
        <v>36</v>
      </c>
      <c r="F40" s="4">
        <f t="shared" si="6"/>
        <v>158</v>
      </c>
      <c r="G40" s="1" t="str">
        <f t="shared" si="7"/>
        <v>1010001_8400|1022001_145</v>
      </c>
      <c r="H40" s="5" t="s">
        <v>100</v>
      </c>
      <c r="I40"/>
      <c r="J40" s="1" t="s">
        <v>101</v>
      </c>
      <c r="K40"/>
    </row>
    <row r="41" spans="2:11">
      <c r="B41" s="2"/>
      <c r="E41" s="1">
        <v>37</v>
      </c>
      <c r="F41" s="4">
        <f t="shared" si="6"/>
        <v>164</v>
      </c>
      <c r="G41" s="1" t="str">
        <f t="shared" si="7"/>
        <v>1010001_8800|1022001_151</v>
      </c>
      <c r="H41" s="5" t="s">
        <v>102</v>
      </c>
      <c r="I41"/>
      <c r="J41" s="1" t="s">
        <v>103</v>
      </c>
      <c r="K41"/>
    </row>
    <row r="42" spans="2:11">
      <c r="B42" s="2"/>
      <c r="E42" s="1">
        <v>38</v>
      </c>
      <c r="F42" s="4">
        <f t="shared" si="6"/>
        <v>170</v>
      </c>
      <c r="G42" s="1" t="str">
        <f t="shared" si="7"/>
        <v>1010001_9200|1022001_157</v>
      </c>
      <c r="H42" s="5" t="s">
        <v>104</v>
      </c>
      <c r="I42"/>
      <c r="J42" s="1" t="s">
        <v>105</v>
      </c>
      <c r="K42"/>
    </row>
    <row r="43" spans="2:11">
      <c r="B43" s="2"/>
      <c r="E43" s="1">
        <v>39</v>
      </c>
      <c r="F43" s="4">
        <f t="shared" si="6"/>
        <v>176</v>
      </c>
      <c r="G43" s="1" t="str">
        <f t="shared" si="7"/>
        <v>1010001_9600|1022001_163</v>
      </c>
      <c r="H43" s="5" t="s">
        <v>106</v>
      </c>
      <c r="J43" s="1" t="s">
        <v>107</v>
      </c>
      <c r="K43"/>
    </row>
    <row r="44" spans="2:11">
      <c r="B44" s="2"/>
      <c r="E44" s="1">
        <v>40</v>
      </c>
      <c r="F44" s="4">
        <f t="shared" si="6"/>
        <v>182</v>
      </c>
      <c r="G44" s="1" t="str">
        <f t="shared" si="7"/>
        <v>1010001_10000|1022001_169</v>
      </c>
      <c r="H44" s="5" t="s">
        <v>108</v>
      </c>
      <c r="I44" s="6" t="s">
        <v>109</v>
      </c>
      <c r="J44" s="1" t="s">
        <v>110</v>
      </c>
      <c r="K44" s="1" t="s">
        <v>111</v>
      </c>
    </row>
    <row r="45" spans="2:11">
      <c r="B45" s="2"/>
      <c r="E45" s="1">
        <v>41</v>
      </c>
      <c r="F45" s="4">
        <f t="shared" ref="F45:F54" si="8">F44+7</f>
        <v>189</v>
      </c>
      <c r="G45" s="1" t="str">
        <f>"1010001_"&amp;(10500+(ROW(A2)-2)*500)&amp;"|1022001_"&amp;(176+(ROW(A2)-2)*7)&amp;""</f>
        <v>1010001_10500|1022001_176</v>
      </c>
      <c r="H45" s="5" t="s">
        <v>112</v>
      </c>
      <c r="I45"/>
      <c r="J45" s="1" t="s">
        <v>113</v>
      </c>
      <c r="K45"/>
    </row>
    <row r="46" spans="2:11">
      <c r="B46" s="2"/>
      <c r="E46" s="1">
        <v>42</v>
      </c>
      <c r="F46" s="4">
        <f t="shared" si="8"/>
        <v>196</v>
      </c>
      <c r="G46" s="1" t="str">
        <f t="shared" ref="G46:G54" si="9">"1010001_"&amp;(10500+(ROW(A3)-2)*500)&amp;"|1022001_"&amp;(176+(ROW(A3)-2)*7)&amp;""</f>
        <v>1010001_11000|1022001_183</v>
      </c>
      <c r="H46" s="5" t="s">
        <v>114</v>
      </c>
      <c r="I46"/>
      <c r="J46" s="1" t="s">
        <v>115</v>
      </c>
      <c r="K46"/>
    </row>
    <row r="47" spans="2:11">
      <c r="B47" s="2"/>
      <c r="E47" s="1">
        <v>43</v>
      </c>
      <c r="F47" s="4">
        <f t="shared" si="8"/>
        <v>203</v>
      </c>
      <c r="G47" s="1" t="str">
        <f t="shared" si="9"/>
        <v>1010001_11500|1022001_190</v>
      </c>
      <c r="H47" s="5" t="s">
        <v>116</v>
      </c>
      <c r="I47"/>
      <c r="J47" s="1" t="s">
        <v>117</v>
      </c>
      <c r="K47"/>
    </row>
    <row r="48" spans="2:11">
      <c r="B48" s="2"/>
      <c r="E48" s="1">
        <v>44</v>
      </c>
      <c r="F48" s="4">
        <f t="shared" si="8"/>
        <v>210</v>
      </c>
      <c r="G48" s="1" t="str">
        <f t="shared" si="9"/>
        <v>1010001_12000|1022001_197</v>
      </c>
      <c r="H48" s="5" t="s">
        <v>118</v>
      </c>
      <c r="I48"/>
      <c r="J48" s="1" t="s">
        <v>119</v>
      </c>
      <c r="K48"/>
    </row>
    <row r="49" spans="2:11">
      <c r="B49" s="2"/>
      <c r="E49" s="1">
        <v>45</v>
      </c>
      <c r="F49" s="4">
        <f t="shared" si="8"/>
        <v>217</v>
      </c>
      <c r="G49" s="1" t="str">
        <f t="shared" si="9"/>
        <v>1010001_12500|1022001_204</v>
      </c>
      <c r="H49" s="5" t="s">
        <v>120</v>
      </c>
      <c r="I49"/>
      <c r="J49" s="1" t="s">
        <v>121</v>
      </c>
      <c r="K49"/>
    </row>
    <row r="50" spans="2:11">
      <c r="B50" s="2"/>
      <c r="E50" s="1">
        <v>46</v>
      </c>
      <c r="F50" s="4">
        <f t="shared" si="8"/>
        <v>224</v>
      </c>
      <c r="G50" s="1" t="str">
        <f t="shared" si="9"/>
        <v>1010001_13000|1022001_211</v>
      </c>
      <c r="H50" s="5" t="s">
        <v>122</v>
      </c>
      <c r="I50"/>
      <c r="J50" s="1" t="s">
        <v>123</v>
      </c>
      <c r="K50"/>
    </row>
    <row r="51" spans="2:11">
      <c r="B51" s="2"/>
      <c r="E51" s="1">
        <v>47</v>
      </c>
      <c r="F51" s="4">
        <f t="shared" si="8"/>
        <v>231</v>
      </c>
      <c r="G51" s="1" t="str">
        <f t="shared" si="9"/>
        <v>1010001_13500|1022001_218</v>
      </c>
      <c r="H51" s="5" t="s">
        <v>124</v>
      </c>
      <c r="I51"/>
      <c r="J51" s="1" t="s">
        <v>125</v>
      </c>
      <c r="K51"/>
    </row>
    <row r="52" spans="2:11">
      <c r="B52" s="2"/>
      <c r="E52" s="1">
        <v>48</v>
      </c>
      <c r="F52" s="4">
        <f t="shared" si="8"/>
        <v>238</v>
      </c>
      <c r="G52" s="1" t="str">
        <f t="shared" si="9"/>
        <v>1010001_14000|1022001_225</v>
      </c>
      <c r="H52" s="5" t="s">
        <v>126</v>
      </c>
      <c r="I52"/>
      <c r="J52" s="1" t="s">
        <v>127</v>
      </c>
      <c r="K52"/>
    </row>
    <row r="53" spans="2:11">
      <c r="B53" s="2"/>
      <c r="E53" s="1">
        <v>49</v>
      </c>
      <c r="F53" s="4">
        <f t="shared" si="8"/>
        <v>245</v>
      </c>
      <c r="G53" s="1" t="str">
        <f t="shared" si="9"/>
        <v>1010001_14500|1022001_232</v>
      </c>
      <c r="H53" s="5" t="s">
        <v>128</v>
      </c>
      <c r="J53" s="1" t="s">
        <v>129</v>
      </c>
      <c r="K53"/>
    </row>
    <row r="54" spans="2:11">
      <c r="B54" s="2"/>
      <c r="E54" s="1">
        <v>50</v>
      </c>
      <c r="F54" s="4">
        <f t="shared" si="8"/>
        <v>252</v>
      </c>
      <c r="G54" s="1" t="str">
        <f t="shared" si="9"/>
        <v>1010001_15000|1022001_239</v>
      </c>
      <c r="H54" s="5" t="s">
        <v>130</v>
      </c>
      <c r="I54" s="6" t="s">
        <v>131</v>
      </c>
      <c r="J54" s="1" t="s">
        <v>132</v>
      </c>
      <c r="K54" s="1" t="s">
        <v>133</v>
      </c>
    </row>
    <row r="55" spans="2:11">
      <c r="B55" s="2"/>
      <c r="E55" s="1">
        <v>51</v>
      </c>
      <c r="F55" s="4">
        <f t="shared" ref="F55:F64" si="10">F54+8</f>
        <v>260</v>
      </c>
      <c r="G55" s="1" t="str">
        <f>"1010001_"&amp;(15600+(ROW(A2)-2)*600)&amp;"|1022001_"&amp;(247+(ROW(A2)-2)*8)&amp;""</f>
        <v>1010001_15600|1022001_247</v>
      </c>
      <c r="H55" s="5" t="s">
        <v>134</v>
      </c>
      <c r="I55"/>
      <c r="J55" s="1" t="s">
        <v>135</v>
      </c>
      <c r="K55"/>
    </row>
    <row r="56" spans="2:11">
      <c r="B56" s="2"/>
      <c r="E56" s="1">
        <v>52</v>
      </c>
      <c r="F56" s="4">
        <f t="shared" si="10"/>
        <v>268</v>
      </c>
      <c r="G56" s="1" t="str">
        <f t="shared" ref="G56:G64" si="11">"1010001_"&amp;(15600+(ROW(A3)-2)*600)&amp;"|1022001_"&amp;(247+(ROW(A3)-2)*8)&amp;""</f>
        <v>1010001_16200|1022001_255</v>
      </c>
      <c r="H56" s="5" t="s">
        <v>136</v>
      </c>
      <c r="I56"/>
      <c r="J56" s="1" t="s">
        <v>137</v>
      </c>
      <c r="K56"/>
    </row>
    <row r="57" spans="2:11">
      <c r="B57" s="2"/>
      <c r="E57" s="1">
        <v>53</v>
      </c>
      <c r="F57" s="4">
        <f t="shared" si="10"/>
        <v>276</v>
      </c>
      <c r="G57" s="1" t="str">
        <f t="shared" si="11"/>
        <v>1010001_16800|1022001_263</v>
      </c>
      <c r="H57" s="5" t="s">
        <v>138</v>
      </c>
      <c r="I57"/>
      <c r="J57" s="1" t="s">
        <v>139</v>
      </c>
      <c r="K57"/>
    </row>
    <row r="58" spans="2:11">
      <c r="B58" s="2"/>
      <c r="E58" s="1">
        <v>54</v>
      </c>
      <c r="F58" s="4">
        <f t="shared" si="10"/>
        <v>284</v>
      </c>
      <c r="G58" s="1" t="str">
        <f t="shared" si="11"/>
        <v>1010001_17400|1022001_271</v>
      </c>
      <c r="H58" s="5" t="s">
        <v>140</v>
      </c>
      <c r="I58"/>
      <c r="J58" s="1" t="s">
        <v>141</v>
      </c>
      <c r="K58"/>
    </row>
    <row r="59" spans="2:11">
      <c r="B59" s="2"/>
      <c r="E59" s="1">
        <v>55</v>
      </c>
      <c r="F59" s="4">
        <f t="shared" si="10"/>
        <v>292</v>
      </c>
      <c r="G59" s="1" t="str">
        <f t="shared" si="11"/>
        <v>1010001_18000|1022001_279</v>
      </c>
      <c r="H59" s="5" t="s">
        <v>142</v>
      </c>
      <c r="I59"/>
      <c r="J59" s="1" t="s">
        <v>143</v>
      </c>
      <c r="K59"/>
    </row>
    <row r="60" spans="2:11">
      <c r="B60" s="2"/>
      <c r="E60" s="1">
        <v>56</v>
      </c>
      <c r="F60" s="4">
        <f t="shared" si="10"/>
        <v>300</v>
      </c>
      <c r="G60" s="1" t="str">
        <f t="shared" si="11"/>
        <v>1010001_18600|1022001_287</v>
      </c>
      <c r="H60" s="5" t="s">
        <v>144</v>
      </c>
      <c r="I60"/>
      <c r="J60" s="1" t="s">
        <v>145</v>
      </c>
      <c r="K60"/>
    </row>
    <row r="61" spans="2:11">
      <c r="B61" s="2"/>
      <c r="E61" s="1">
        <v>57</v>
      </c>
      <c r="F61" s="4">
        <f t="shared" si="10"/>
        <v>308</v>
      </c>
      <c r="G61" s="1" t="str">
        <f t="shared" si="11"/>
        <v>1010001_19200|1022001_295</v>
      </c>
      <c r="H61" s="5" t="s">
        <v>146</v>
      </c>
      <c r="I61"/>
      <c r="J61" s="1" t="s">
        <v>147</v>
      </c>
      <c r="K61"/>
    </row>
    <row r="62" spans="2:11">
      <c r="B62" s="2"/>
      <c r="E62" s="1">
        <v>58</v>
      </c>
      <c r="F62" s="4">
        <f t="shared" si="10"/>
        <v>316</v>
      </c>
      <c r="G62" s="1" t="str">
        <f t="shared" si="11"/>
        <v>1010001_19800|1022001_303</v>
      </c>
      <c r="H62" s="5" t="s">
        <v>148</v>
      </c>
      <c r="I62"/>
      <c r="J62" s="1" t="s">
        <v>149</v>
      </c>
      <c r="K62"/>
    </row>
    <row r="63" spans="2:11">
      <c r="B63" s="2"/>
      <c r="E63" s="1">
        <v>59</v>
      </c>
      <c r="F63" s="4">
        <f t="shared" si="10"/>
        <v>324</v>
      </c>
      <c r="G63" s="1" t="str">
        <f t="shared" si="11"/>
        <v>1010001_20400|1022001_311</v>
      </c>
      <c r="H63" s="5" t="s">
        <v>150</v>
      </c>
      <c r="J63" s="1" t="s">
        <v>151</v>
      </c>
      <c r="K63"/>
    </row>
    <row r="64" spans="2:11">
      <c r="B64" s="2"/>
      <c r="E64" s="1">
        <v>60</v>
      </c>
      <c r="F64" s="4">
        <f t="shared" si="10"/>
        <v>332</v>
      </c>
      <c r="G64" s="1" t="str">
        <f t="shared" si="11"/>
        <v>1010001_21000|1022001_319</v>
      </c>
      <c r="H64" s="5" t="s">
        <v>152</v>
      </c>
      <c r="I64" s="6" t="s">
        <v>153</v>
      </c>
      <c r="J64" s="1" t="s">
        <v>154</v>
      </c>
      <c r="K64" s="1" t="s">
        <v>155</v>
      </c>
    </row>
    <row r="65" spans="2:11">
      <c r="B65" s="2"/>
      <c r="E65" s="1">
        <v>61</v>
      </c>
      <c r="F65" s="4">
        <f t="shared" ref="F65:F74" si="12">F64+9</f>
        <v>341</v>
      </c>
      <c r="G65" s="1" t="str">
        <f>"1010001_"&amp;(21700+(ROW(A2)-2)*700)&amp;"|1022001_"&amp;(328+(ROW(A2)-2)*9)&amp;""</f>
        <v>1010001_21700|1022001_328</v>
      </c>
      <c r="H65" s="5" t="s">
        <v>156</v>
      </c>
      <c r="I65"/>
      <c r="J65" s="1" t="s">
        <v>157</v>
      </c>
      <c r="K65"/>
    </row>
    <row r="66" spans="2:11">
      <c r="B66" s="2"/>
      <c r="E66" s="1">
        <v>62</v>
      </c>
      <c r="F66" s="4">
        <f t="shared" si="12"/>
        <v>350</v>
      </c>
      <c r="G66" s="1" t="str">
        <f t="shared" ref="G66:G74" si="13">"1010001_"&amp;(21700+(ROW(A3)-2)*700)&amp;"|1022001_"&amp;(328+(ROW(A3)-2)*9)&amp;""</f>
        <v>1010001_22400|1022001_337</v>
      </c>
      <c r="H66" s="5" t="s">
        <v>158</v>
      </c>
      <c r="I66"/>
      <c r="J66" s="1" t="s">
        <v>159</v>
      </c>
      <c r="K66"/>
    </row>
    <row r="67" spans="2:11">
      <c r="B67" s="2"/>
      <c r="E67" s="1">
        <v>63</v>
      </c>
      <c r="F67" s="4">
        <f t="shared" si="12"/>
        <v>359</v>
      </c>
      <c r="G67" s="1" t="str">
        <f t="shared" si="13"/>
        <v>1010001_23100|1022001_346</v>
      </c>
      <c r="H67" s="5" t="s">
        <v>160</v>
      </c>
      <c r="I67"/>
      <c r="J67" s="1" t="s">
        <v>161</v>
      </c>
      <c r="K67"/>
    </row>
    <row r="68" spans="2:11">
      <c r="B68" s="2"/>
      <c r="E68" s="1">
        <v>64</v>
      </c>
      <c r="F68" s="4">
        <f t="shared" si="12"/>
        <v>368</v>
      </c>
      <c r="G68" s="1" t="str">
        <f t="shared" si="13"/>
        <v>1010001_23800|1022001_355</v>
      </c>
      <c r="H68" s="5" t="s">
        <v>162</v>
      </c>
      <c r="I68"/>
      <c r="J68" s="1" t="s">
        <v>163</v>
      </c>
      <c r="K68"/>
    </row>
    <row r="69" spans="2:11">
      <c r="B69" s="2"/>
      <c r="E69" s="1">
        <v>65</v>
      </c>
      <c r="F69" s="4">
        <f t="shared" si="12"/>
        <v>377</v>
      </c>
      <c r="G69" s="1" t="str">
        <f t="shared" si="13"/>
        <v>1010001_24500|1022001_364</v>
      </c>
      <c r="H69" s="5" t="s">
        <v>164</v>
      </c>
      <c r="I69"/>
      <c r="J69" s="1" t="s">
        <v>165</v>
      </c>
      <c r="K69"/>
    </row>
    <row r="70" spans="2:11">
      <c r="B70" s="2"/>
      <c r="E70" s="1">
        <v>66</v>
      </c>
      <c r="F70" s="4">
        <f t="shared" si="12"/>
        <v>386</v>
      </c>
      <c r="G70" s="1" t="str">
        <f t="shared" si="13"/>
        <v>1010001_25200|1022001_373</v>
      </c>
      <c r="H70" s="5" t="s">
        <v>166</v>
      </c>
      <c r="I70"/>
      <c r="J70" s="1" t="s">
        <v>167</v>
      </c>
      <c r="K70"/>
    </row>
    <row r="71" spans="2:11">
      <c r="B71" s="2"/>
      <c r="E71" s="1">
        <v>67</v>
      </c>
      <c r="F71" s="4">
        <f t="shared" si="12"/>
        <v>395</v>
      </c>
      <c r="G71" s="1" t="str">
        <f t="shared" si="13"/>
        <v>1010001_25900|1022001_382</v>
      </c>
      <c r="H71" s="5" t="s">
        <v>168</v>
      </c>
      <c r="I71"/>
      <c r="J71" s="1" t="s">
        <v>169</v>
      </c>
      <c r="K71"/>
    </row>
    <row r="72" spans="2:11">
      <c r="B72" s="2"/>
      <c r="E72" s="1">
        <v>68</v>
      </c>
      <c r="F72" s="4">
        <f t="shared" si="12"/>
        <v>404</v>
      </c>
      <c r="G72" s="1" t="str">
        <f t="shared" si="13"/>
        <v>1010001_26600|1022001_391</v>
      </c>
      <c r="H72" s="5" t="s">
        <v>170</v>
      </c>
      <c r="I72"/>
      <c r="J72" s="1" t="s">
        <v>171</v>
      </c>
      <c r="K72"/>
    </row>
    <row r="73" spans="2:11">
      <c r="B73" s="2"/>
      <c r="E73" s="1">
        <v>69</v>
      </c>
      <c r="F73" s="4">
        <f t="shared" si="12"/>
        <v>413</v>
      </c>
      <c r="G73" s="1" t="str">
        <f t="shared" si="13"/>
        <v>1010001_27300|1022001_400</v>
      </c>
      <c r="H73" s="5" t="s">
        <v>172</v>
      </c>
      <c r="J73" s="1" t="s">
        <v>173</v>
      </c>
      <c r="K73"/>
    </row>
    <row r="74" spans="2:11">
      <c r="B74" s="2"/>
      <c r="E74" s="1">
        <v>70</v>
      </c>
      <c r="F74" s="4">
        <f t="shared" si="12"/>
        <v>422</v>
      </c>
      <c r="G74" s="1" t="str">
        <f t="shared" si="13"/>
        <v>1010001_28000|1022001_409</v>
      </c>
      <c r="H74" s="5" t="s">
        <v>174</v>
      </c>
      <c r="I74" s="6" t="s">
        <v>175</v>
      </c>
      <c r="J74" s="1" t="s">
        <v>176</v>
      </c>
      <c r="K74" s="1" t="s">
        <v>177</v>
      </c>
    </row>
    <row r="75" spans="2:11">
      <c r="B75" s="2"/>
      <c r="E75" s="1">
        <v>71</v>
      </c>
      <c r="F75" s="4">
        <f t="shared" ref="F75:F84" si="14">F74+10</f>
        <v>432</v>
      </c>
      <c r="G75" s="1" t="str">
        <f>"1010001_"&amp;(28800+(ROW(A2)-2)*800)&amp;"|1022001_"&amp;(419+(ROW(A2)-2)*10)&amp;""</f>
        <v>1010001_28800|1022001_419</v>
      </c>
      <c r="H75" s="5" t="s">
        <v>178</v>
      </c>
      <c r="I75"/>
      <c r="J75" s="1" t="s">
        <v>179</v>
      </c>
      <c r="K75"/>
    </row>
    <row r="76" spans="2:11">
      <c r="B76" s="2"/>
      <c r="E76" s="1">
        <v>72</v>
      </c>
      <c r="F76" s="4">
        <f t="shared" si="14"/>
        <v>442</v>
      </c>
      <c r="G76" s="1" t="str">
        <f t="shared" ref="G76:G84" si="15">"1010001_"&amp;(28800+(ROW(A3)-2)*800)&amp;"|1022001_"&amp;(419+(ROW(A3)-2)*10)&amp;""</f>
        <v>1010001_29600|1022001_429</v>
      </c>
      <c r="H76" s="5" t="s">
        <v>180</v>
      </c>
      <c r="I76"/>
      <c r="J76" s="1" t="s">
        <v>181</v>
      </c>
      <c r="K76"/>
    </row>
    <row r="77" spans="2:11">
      <c r="B77" s="2"/>
      <c r="E77" s="1">
        <v>73</v>
      </c>
      <c r="F77" s="4">
        <f t="shared" si="14"/>
        <v>452</v>
      </c>
      <c r="G77" s="1" t="str">
        <f t="shared" si="15"/>
        <v>1010001_30400|1022001_439</v>
      </c>
      <c r="H77" s="5" t="s">
        <v>182</v>
      </c>
      <c r="I77"/>
      <c r="J77" s="1" t="s">
        <v>183</v>
      </c>
      <c r="K77"/>
    </row>
    <row r="78" spans="2:11">
      <c r="B78" s="2"/>
      <c r="E78" s="1">
        <v>74</v>
      </c>
      <c r="F78" s="4">
        <f t="shared" si="14"/>
        <v>462</v>
      </c>
      <c r="G78" s="1" t="str">
        <f t="shared" si="15"/>
        <v>1010001_31200|1022001_449</v>
      </c>
      <c r="H78" s="5" t="s">
        <v>184</v>
      </c>
      <c r="I78"/>
      <c r="J78" s="1" t="s">
        <v>185</v>
      </c>
      <c r="K78"/>
    </row>
    <row r="79" spans="2:11">
      <c r="B79" s="2"/>
      <c r="E79" s="1">
        <v>75</v>
      </c>
      <c r="F79" s="4">
        <f t="shared" si="14"/>
        <v>472</v>
      </c>
      <c r="G79" s="1" t="str">
        <f t="shared" si="15"/>
        <v>1010001_32000|1022001_459</v>
      </c>
      <c r="H79" s="5" t="s">
        <v>186</v>
      </c>
      <c r="I79"/>
      <c r="J79" s="1" t="s">
        <v>187</v>
      </c>
      <c r="K79"/>
    </row>
    <row r="80" spans="2:11">
      <c r="B80" s="2"/>
      <c r="E80" s="1">
        <v>76</v>
      </c>
      <c r="F80" s="4">
        <f t="shared" si="14"/>
        <v>482</v>
      </c>
      <c r="G80" s="1" t="str">
        <f t="shared" si="15"/>
        <v>1010001_32800|1022001_469</v>
      </c>
      <c r="H80" s="5" t="s">
        <v>188</v>
      </c>
      <c r="I80"/>
      <c r="J80" s="1" t="s">
        <v>189</v>
      </c>
      <c r="K80"/>
    </row>
    <row r="81" spans="2:11">
      <c r="B81" s="2"/>
      <c r="E81" s="1">
        <v>77</v>
      </c>
      <c r="F81" s="4">
        <f t="shared" si="14"/>
        <v>492</v>
      </c>
      <c r="G81" s="1" t="str">
        <f t="shared" si="15"/>
        <v>1010001_33600|1022001_479</v>
      </c>
      <c r="H81" s="5" t="s">
        <v>190</v>
      </c>
      <c r="I81"/>
      <c r="J81" s="1" t="s">
        <v>191</v>
      </c>
      <c r="K81"/>
    </row>
    <row r="82" spans="2:11">
      <c r="B82" s="2"/>
      <c r="E82" s="1">
        <v>78</v>
      </c>
      <c r="F82" s="4">
        <f t="shared" si="14"/>
        <v>502</v>
      </c>
      <c r="G82" s="1" t="str">
        <f t="shared" si="15"/>
        <v>1010001_34400|1022001_489</v>
      </c>
      <c r="H82" s="5" t="s">
        <v>192</v>
      </c>
      <c r="I82"/>
      <c r="J82" s="1" t="s">
        <v>193</v>
      </c>
      <c r="K82"/>
    </row>
    <row r="83" spans="2:11">
      <c r="B83" s="2"/>
      <c r="E83" s="1">
        <v>79</v>
      </c>
      <c r="F83" s="4">
        <f t="shared" si="14"/>
        <v>512</v>
      </c>
      <c r="G83" s="1" t="str">
        <f t="shared" si="15"/>
        <v>1010001_35200|1022001_499</v>
      </c>
      <c r="H83" s="5" t="s">
        <v>194</v>
      </c>
      <c r="J83" s="1" t="s">
        <v>195</v>
      </c>
      <c r="K83"/>
    </row>
    <row r="84" spans="2:11">
      <c r="B84" s="2"/>
      <c r="E84" s="1">
        <v>80</v>
      </c>
      <c r="F84" s="4">
        <f t="shared" si="14"/>
        <v>522</v>
      </c>
      <c r="G84" s="1" t="str">
        <f t="shared" si="15"/>
        <v>1010001_36000|1022001_509</v>
      </c>
      <c r="H84" s="5" t="s">
        <v>196</v>
      </c>
      <c r="I84" s="6" t="s">
        <v>197</v>
      </c>
      <c r="J84" s="1" t="s">
        <v>198</v>
      </c>
      <c r="K84" s="1" t="s">
        <v>199</v>
      </c>
    </row>
    <row r="85" spans="2:11">
      <c r="B85" s="2"/>
      <c r="E85" s="1">
        <v>81</v>
      </c>
      <c r="F85" s="4">
        <f t="shared" ref="F85:F94" si="16">F84+11</f>
        <v>533</v>
      </c>
      <c r="G85" s="1" t="str">
        <f>"1010001_"&amp;(36900+(ROW(A2)-2)*900)&amp;"|1022001_"&amp;(520+(ROW(A2)-2)*11)&amp;""</f>
        <v>1010001_36900|1022001_520</v>
      </c>
      <c r="H85" s="5" t="s">
        <v>200</v>
      </c>
      <c r="I85"/>
      <c r="J85" s="1" t="s">
        <v>201</v>
      </c>
      <c r="K85"/>
    </row>
    <row r="86" spans="2:11">
      <c r="B86" s="2"/>
      <c r="E86" s="1">
        <v>82</v>
      </c>
      <c r="F86" s="4">
        <f t="shared" si="16"/>
        <v>544</v>
      </c>
      <c r="G86" s="1" t="str">
        <f t="shared" ref="G86:G94" si="17">"1010001_"&amp;(36900+(ROW(A3)-2)*900)&amp;"|1022001_"&amp;(520+(ROW(A3)-2)*11)&amp;""</f>
        <v>1010001_37800|1022001_531</v>
      </c>
      <c r="H86" s="5" t="s">
        <v>202</v>
      </c>
      <c r="I86"/>
      <c r="J86" s="1" t="s">
        <v>203</v>
      </c>
      <c r="K86"/>
    </row>
    <row r="87" spans="2:11">
      <c r="B87" s="2"/>
      <c r="E87" s="1">
        <v>83</v>
      </c>
      <c r="F87" s="4">
        <f t="shared" si="16"/>
        <v>555</v>
      </c>
      <c r="G87" s="1" t="str">
        <f t="shared" si="17"/>
        <v>1010001_38700|1022001_542</v>
      </c>
      <c r="H87" s="5" t="s">
        <v>204</v>
      </c>
      <c r="I87"/>
      <c r="J87" s="1" t="s">
        <v>205</v>
      </c>
      <c r="K87"/>
    </row>
    <row r="88" spans="2:11">
      <c r="B88" s="2"/>
      <c r="E88" s="1">
        <v>84</v>
      </c>
      <c r="F88" s="4">
        <f t="shared" si="16"/>
        <v>566</v>
      </c>
      <c r="G88" s="1" t="str">
        <f t="shared" si="17"/>
        <v>1010001_39600|1022001_553</v>
      </c>
      <c r="H88" s="5" t="s">
        <v>206</v>
      </c>
      <c r="I88"/>
      <c r="J88" s="1" t="s">
        <v>207</v>
      </c>
      <c r="K88"/>
    </row>
    <row r="89" spans="2:11">
      <c r="B89" s="2"/>
      <c r="E89" s="1">
        <v>85</v>
      </c>
      <c r="F89" s="4">
        <f t="shared" si="16"/>
        <v>577</v>
      </c>
      <c r="G89" s="1" t="str">
        <f t="shared" si="17"/>
        <v>1010001_40500|1022001_564</v>
      </c>
      <c r="H89" s="5" t="s">
        <v>208</v>
      </c>
      <c r="I89"/>
      <c r="J89" s="1" t="s">
        <v>209</v>
      </c>
      <c r="K89"/>
    </row>
    <row r="90" spans="2:11">
      <c r="B90" s="2"/>
      <c r="E90" s="1">
        <v>86</v>
      </c>
      <c r="F90" s="4">
        <f t="shared" si="16"/>
        <v>588</v>
      </c>
      <c r="G90" s="1" t="str">
        <f t="shared" si="17"/>
        <v>1010001_41400|1022001_575</v>
      </c>
      <c r="H90" s="5" t="s">
        <v>210</v>
      </c>
      <c r="I90"/>
      <c r="J90" s="1" t="s">
        <v>211</v>
      </c>
      <c r="K90"/>
    </row>
    <row r="91" spans="2:11">
      <c r="B91" s="2"/>
      <c r="E91" s="1">
        <v>87</v>
      </c>
      <c r="F91" s="4">
        <f t="shared" si="16"/>
        <v>599</v>
      </c>
      <c r="G91" s="1" t="str">
        <f t="shared" si="17"/>
        <v>1010001_42300|1022001_586</v>
      </c>
      <c r="H91" s="5" t="s">
        <v>212</v>
      </c>
      <c r="I91"/>
      <c r="J91" s="1" t="s">
        <v>213</v>
      </c>
      <c r="K91"/>
    </row>
    <row r="92" spans="2:11">
      <c r="B92" s="2"/>
      <c r="E92" s="1">
        <v>88</v>
      </c>
      <c r="F92" s="4">
        <f t="shared" si="16"/>
        <v>610</v>
      </c>
      <c r="G92" s="1" t="str">
        <f t="shared" si="17"/>
        <v>1010001_43200|1022001_597</v>
      </c>
      <c r="H92" s="5" t="s">
        <v>214</v>
      </c>
      <c r="I92"/>
      <c r="J92" s="1" t="s">
        <v>215</v>
      </c>
      <c r="K92"/>
    </row>
    <row r="93" spans="2:11">
      <c r="B93" s="2"/>
      <c r="E93" s="1">
        <v>89</v>
      </c>
      <c r="F93" s="4">
        <f t="shared" si="16"/>
        <v>621</v>
      </c>
      <c r="G93" s="1" t="str">
        <f t="shared" si="17"/>
        <v>1010001_44100|1022001_608</v>
      </c>
      <c r="H93" s="5" t="s">
        <v>216</v>
      </c>
      <c r="J93" s="1" t="s">
        <v>217</v>
      </c>
      <c r="K93"/>
    </row>
    <row r="94" spans="2:11">
      <c r="B94" s="2"/>
      <c r="E94" s="1">
        <v>90</v>
      </c>
      <c r="F94" s="4">
        <f t="shared" si="16"/>
        <v>632</v>
      </c>
      <c r="G94" s="1" t="str">
        <f t="shared" si="17"/>
        <v>1010001_45000|1022001_619</v>
      </c>
      <c r="H94" s="5" t="s">
        <v>218</v>
      </c>
      <c r="I94" s="6" t="s">
        <v>219</v>
      </c>
      <c r="J94" s="1" t="s">
        <v>220</v>
      </c>
      <c r="K94" s="1" t="s">
        <v>221</v>
      </c>
    </row>
    <row r="95" spans="2:11">
      <c r="B95" s="2"/>
      <c r="E95" s="1">
        <v>91</v>
      </c>
      <c r="F95" s="4">
        <f t="shared" ref="F95:F104" si="18">F94+12</f>
        <v>644</v>
      </c>
      <c r="G95" s="1" t="str">
        <f>"1010001_"&amp;(46000+(ROW(A2)-2)*1000)&amp;"|1022001_"&amp;(631+(ROW(A2)-2)*12)&amp;""</f>
        <v>1010001_46000|1022001_631</v>
      </c>
      <c r="H95" s="5" t="s">
        <v>222</v>
      </c>
      <c r="I95"/>
      <c r="J95" s="1" t="s">
        <v>223</v>
      </c>
      <c r="K95"/>
    </row>
    <row r="96" spans="2:11">
      <c r="B96" s="2"/>
      <c r="E96" s="1">
        <v>92</v>
      </c>
      <c r="F96" s="4">
        <f t="shared" si="18"/>
        <v>656</v>
      </c>
      <c r="G96" s="1" t="str">
        <f t="shared" ref="G96:G104" si="19">"1010001_"&amp;(46000+(ROW(A3)-2)*1000)&amp;"|1022001_"&amp;(631+(ROW(A3)-2)*12)&amp;""</f>
        <v>1010001_47000|1022001_643</v>
      </c>
      <c r="H96" s="5" t="s">
        <v>224</v>
      </c>
      <c r="I96"/>
      <c r="J96" s="1" t="s">
        <v>225</v>
      </c>
      <c r="K96"/>
    </row>
    <row r="97" spans="2:11">
      <c r="B97" s="2"/>
      <c r="E97" s="1">
        <v>93</v>
      </c>
      <c r="F97" s="4">
        <f t="shared" si="18"/>
        <v>668</v>
      </c>
      <c r="G97" s="1" t="str">
        <f t="shared" si="19"/>
        <v>1010001_48000|1022001_655</v>
      </c>
      <c r="H97" s="5" t="s">
        <v>226</v>
      </c>
      <c r="I97"/>
      <c r="J97" s="1" t="s">
        <v>227</v>
      </c>
      <c r="K97"/>
    </row>
    <row r="98" spans="2:11">
      <c r="B98" s="2"/>
      <c r="E98" s="1">
        <v>94</v>
      </c>
      <c r="F98" s="4">
        <f t="shared" si="18"/>
        <v>680</v>
      </c>
      <c r="G98" s="1" t="str">
        <f t="shared" si="19"/>
        <v>1010001_49000|1022001_667</v>
      </c>
      <c r="H98" s="5" t="s">
        <v>228</v>
      </c>
      <c r="I98"/>
      <c r="J98" s="1" t="s">
        <v>229</v>
      </c>
      <c r="K98"/>
    </row>
    <row r="99" spans="2:11">
      <c r="B99" s="2"/>
      <c r="E99" s="1">
        <v>95</v>
      </c>
      <c r="F99" s="4">
        <f t="shared" si="18"/>
        <v>692</v>
      </c>
      <c r="G99" s="1" t="str">
        <f t="shared" si="19"/>
        <v>1010001_50000|1022001_679</v>
      </c>
      <c r="H99" s="5" t="s">
        <v>230</v>
      </c>
      <c r="I99"/>
      <c r="J99" s="1" t="s">
        <v>231</v>
      </c>
      <c r="K99"/>
    </row>
    <row r="100" spans="2:11">
      <c r="B100" s="2"/>
      <c r="E100" s="1">
        <v>96</v>
      </c>
      <c r="F100" s="4">
        <f t="shared" si="18"/>
        <v>704</v>
      </c>
      <c r="G100" s="1" t="str">
        <f t="shared" si="19"/>
        <v>1010001_51000|1022001_691</v>
      </c>
      <c r="H100" s="5" t="s">
        <v>232</v>
      </c>
      <c r="I100"/>
      <c r="J100" s="1" t="s">
        <v>233</v>
      </c>
      <c r="K100"/>
    </row>
    <row r="101" spans="2:11">
      <c r="B101" s="2"/>
      <c r="E101" s="1">
        <v>97</v>
      </c>
      <c r="F101" s="4">
        <f t="shared" si="18"/>
        <v>716</v>
      </c>
      <c r="G101" s="1" t="str">
        <f t="shared" si="19"/>
        <v>1010001_52000|1022001_703</v>
      </c>
      <c r="H101" s="5" t="s">
        <v>234</v>
      </c>
      <c r="I101"/>
      <c r="J101" s="1" t="s">
        <v>235</v>
      </c>
      <c r="K101"/>
    </row>
    <row r="102" spans="2:11">
      <c r="B102" s="2"/>
      <c r="E102" s="1">
        <v>98</v>
      </c>
      <c r="F102" s="4">
        <f t="shared" si="18"/>
        <v>728</v>
      </c>
      <c r="G102" s="1" t="str">
        <f t="shared" si="19"/>
        <v>1010001_53000|1022001_715</v>
      </c>
      <c r="H102" s="5" t="s">
        <v>236</v>
      </c>
      <c r="I102"/>
      <c r="J102" s="1" t="s">
        <v>237</v>
      </c>
      <c r="K102"/>
    </row>
    <row r="103" spans="2:11">
      <c r="B103" s="2"/>
      <c r="E103" s="1">
        <v>99</v>
      </c>
      <c r="F103" s="4">
        <f t="shared" si="18"/>
        <v>740</v>
      </c>
      <c r="G103" s="1" t="str">
        <f t="shared" si="19"/>
        <v>1010001_54000|1022001_727</v>
      </c>
      <c r="H103" s="5" t="s">
        <v>238</v>
      </c>
      <c r="I103" s="6"/>
      <c r="J103" s="1" t="s">
        <v>239</v>
      </c>
      <c r="K103"/>
    </row>
    <row r="104" spans="2:11">
      <c r="B104" s="2"/>
      <c r="E104" s="1">
        <v>100</v>
      </c>
      <c r="F104" s="4">
        <f t="shared" si="18"/>
        <v>752</v>
      </c>
      <c r="H104" s="5" t="s">
        <v>240</v>
      </c>
      <c r="I104" s="6" t="s">
        <v>241</v>
      </c>
      <c r="J104" s="1" t="s">
        <v>242</v>
      </c>
      <c r="K104" s="1" t="s">
        <v>243</v>
      </c>
    </row>
    <row r="105" spans="2:11">
      <c r="B105" s="2"/>
      <c r="F105" s="1"/>
      <c r="G105"/>
      <c r="H105" s="2"/>
    </row>
    <row r="106" spans="2:11">
      <c r="B106" s="2" t="s">
        <v>244</v>
      </c>
      <c r="C106" s="1" t="s">
        <v>245</v>
      </c>
      <c r="E106" s="1">
        <v>1</v>
      </c>
      <c r="F106" s="4">
        <v>5</v>
      </c>
      <c r="G106" s="7" t="s">
        <v>246</v>
      </c>
      <c r="H106" s="5" t="s">
        <v>24</v>
      </c>
      <c r="I106" s="1"/>
      <c r="J106" s="1" t="s">
        <v>25</v>
      </c>
      <c r="K106"/>
    </row>
    <row r="107" spans="2:11">
      <c r="E107" s="1">
        <v>2</v>
      </c>
      <c r="F107" s="4">
        <f t="shared" ref="F107:F115" si="20">F106+3</f>
        <v>8</v>
      </c>
      <c r="G107" s="7" t="s">
        <v>247</v>
      </c>
      <c r="H107" s="5" t="s">
        <v>26</v>
      </c>
      <c r="I107" s="1"/>
      <c r="J107" s="1" t="s">
        <v>27</v>
      </c>
      <c r="K107"/>
    </row>
    <row r="108" spans="2:11">
      <c r="E108" s="1">
        <v>3</v>
      </c>
      <c r="F108" s="4">
        <f t="shared" si="20"/>
        <v>11</v>
      </c>
      <c r="G108" s="7" t="s">
        <v>248</v>
      </c>
      <c r="H108" s="5" t="s">
        <v>28</v>
      </c>
      <c r="I108" s="1"/>
      <c r="J108" s="1" t="s">
        <v>29</v>
      </c>
      <c r="K108"/>
    </row>
    <row r="109" spans="2:11">
      <c r="E109" s="1">
        <v>4</v>
      </c>
      <c r="F109" s="4">
        <f t="shared" si="20"/>
        <v>14</v>
      </c>
      <c r="G109" s="7" t="s">
        <v>249</v>
      </c>
      <c r="H109" s="5" t="s">
        <v>30</v>
      </c>
      <c r="I109" s="1"/>
      <c r="J109" s="1" t="s">
        <v>31</v>
      </c>
      <c r="K109"/>
    </row>
    <row r="110" spans="2:11">
      <c r="E110" s="1">
        <v>5</v>
      </c>
      <c r="F110" s="4">
        <f t="shared" si="20"/>
        <v>17</v>
      </c>
      <c r="G110" s="7" t="s">
        <v>250</v>
      </c>
      <c r="H110" s="5" t="s">
        <v>32</v>
      </c>
      <c r="I110" s="1"/>
      <c r="J110" s="1" t="s">
        <v>33</v>
      </c>
      <c r="K110"/>
    </row>
    <row r="111" spans="2:11">
      <c r="E111" s="1">
        <v>6</v>
      </c>
      <c r="F111" s="4">
        <f t="shared" si="20"/>
        <v>20</v>
      </c>
      <c r="G111" s="7" t="s">
        <v>251</v>
      </c>
      <c r="H111" s="5" t="s">
        <v>34</v>
      </c>
      <c r="I111" s="1"/>
      <c r="J111" s="1" t="s">
        <v>35</v>
      </c>
      <c r="K111"/>
    </row>
    <row r="112" spans="2:11">
      <c r="E112" s="1">
        <v>7</v>
      </c>
      <c r="F112" s="4">
        <f t="shared" si="20"/>
        <v>23</v>
      </c>
      <c r="G112" s="7" t="s">
        <v>252</v>
      </c>
      <c r="H112" s="5" t="s">
        <v>36</v>
      </c>
      <c r="I112" s="1"/>
      <c r="J112" s="1" t="s">
        <v>37</v>
      </c>
      <c r="K112"/>
    </row>
    <row r="113" spans="5:11">
      <c r="E113" s="1">
        <v>8</v>
      </c>
      <c r="F113" s="4">
        <f t="shared" si="20"/>
        <v>26</v>
      </c>
      <c r="G113" s="7" t="s">
        <v>253</v>
      </c>
      <c r="H113" s="5" t="s">
        <v>38</v>
      </c>
      <c r="I113" s="1"/>
      <c r="J113" s="1" t="s">
        <v>39</v>
      </c>
      <c r="K113"/>
    </row>
    <row r="114" spans="5:11">
      <c r="E114" s="1">
        <v>9</v>
      </c>
      <c r="F114" s="4">
        <f t="shared" si="20"/>
        <v>29</v>
      </c>
      <c r="G114" s="7" t="s">
        <v>254</v>
      </c>
      <c r="H114" s="5" t="s">
        <v>40</v>
      </c>
      <c r="I114" s="1"/>
      <c r="J114" s="1" t="s">
        <v>41</v>
      </c>
      <c r="K114"/>
    </row>
    <row r="115" spans="5:11">
      <c r="E115" s="1">
        <v>10</v>
      </c>
      <c r="F115" s="4">
        <f t="shared" si="20"/>
        <v>32</v>
      </c>
      <c r="G115" s="7" t="s">
        <v>255</v>
      </c>
      <c r="H115" s="5" t="s">
        <v>42</v>
      </c>
      <c r="I115" s="6" t="s">
        <v>256</v>
      </c>
      <c r="J115" s="1" t="s">
        <v>44</v>
      </c>
      <c r="K115" s="1" t="s">
        <v>257</v>
      </c>
    </row>
    <row r="116" spans="5:11">
      <c r="E116" s="1">
        <v>11</v>
      </c>
      <c r="F116" s="4">
        <f t="shared" ref="F116:F125" si="21">F115+4</f>
        <v>36</v>
      </c>
      <c r="G116" s="7" t="s">
        <v>258</v>
      </c>
      <c r="H116" s="5" t="s">
        <v>46</v>
      </c>
      <c r="I116"/>
      <c r="J116" s="1" t="s">
        <v>47</v>
      </c>
      <c r="K116"/>
    </row>
    <row r="117" spans="5:11">
      <c r="E117" s="1">
        <v>12</v>
      </c>
      <c r="F117" s="4">
        <f t="shared" si="21"/>
        <v>40</v>
      </c>
      <c r="G117" s="7" t="s">
        <v>259</v>
      </c>
      <c r="H117" s="5" t="s">
        <v>48</v>
      </c>
      <c r="I117"/>
      <c r="J117" s="1" t="s">
        <v>49</v>
      </c>
      <c r="K117"/>
    </row>
    <row r="118" spans="5:11">
      <c r="E118" s="1">
        <v>13</v>
      </c>
      <c r="F118" s="4">
        <f t="shared" si="21"/>
        <v>44</v>
      </c>
      <c r="G118" s="7" t="s">
        <v>260</v>
      </c>
      <c r="H118" s="5" t="s">
        <v>50</v>
      </c>
      <c r="I118"/>
      <c r="J118" s="1" t="s">
        <v>51</v>
      </c>
      <c r="K118"/>
    </row>
    <row r="119" spans="5:11">
      <c r="E119" s="1">
        <v>14</v>
      </c>
      <c r="F119" s="4">
        <f t="shared" si="21"/>
        <v>48</v>
      </c>
      <c r="G119" s="7" t="s">
        <v>261</v>
      </c>
      <c r="H119" s="5" t="s">
        <v>52</v>
      </c>
      <c r="I119"/>
      <c r="J119" s="1" t="s">
        <v>53</v>
      </c>
      <c r="K119"/>
    </row>
    <row r="120" spans="5:11">
      <c r="E120" s="1">
        <v>15</v>
      </c>
      <c r="F120" s="4">
        <f t="shared" si="21"/>
        <v>52</v>
      </c>
      <c r="G120" s="7" t="s">
        <v>262</v>
      </c>
      <c r="H120" s="5" t="s">
        <v>54</v>
      </c>
      <c r="I120"/>
      <c r="J120" s="1" t="s">
        <v>55</v>
      </c>
      <c r="K120"/>
    </row>
    <row r="121" spans="5:11">
      <c r="E121" s="1">
        <v>16</v>
      </c>
      <c r="F121" s="4">
        <f t="shared" si="21"/>
        <v>56</v>
      </c>
      <c r="G121" s="7" t="s">
        <v>263</v>
      </c>
      <c r="H121" s="5" t="s">
        <v>56</v>
      </c>
      <c r="I121"/>
      <c r="J121" s="1" t="s">
        <v>57</v>
      </c>
      <c r="K121"/>
    </row>
    <row r="122" spans="5:11">
      <c r="E122" s="1">
        <v>17</v>
      </c>
      <c r="F122" s="4">
        <f t="shared" si="21"/>
        <v>60</v>
      </c>
      <c r="G122" s="7" t="s">
        <v>264</v>
      </c>
      <c r="H122" s="5" t="s">
        <v>58</v>
      </c>
      <c r="I122"/>
      <c r="J122" s="1" t="s">
        <v>59</v>
      </c>
      <c r="K122"/>
    </row>
    <row r="123" spans="5:11">
      <c r="E123" s="1">
        <v>18</v>
      </c>
      <c r="F123" s="4">
        <f t="shared" si="21"/>
        <v>64</v>
      </c>
      <c r="G123" s="7" t="s">
        <v>265</v>
      </c>
      <c r="H123" s="5" t="s">
        <v>60</v>
      </c>
      <c r="I123"/>
      <c r="J123" s="1" t="s">
        <v>61</v>
      </c>
      <c r="K123"/>
    </row>
    <row r="124" spans="5:11">
      <c r="E124" s="1">
        <v>19</v>
      </c>
      <c r="F124" s="4">
        <f t="shared" si="21"/>
        <v>68</v>
      </c>
      <c r="G124" s="7" t="s">
        <v>266</v>
      </c>
      <c r="H124" s="5" t="s">
        <v>62</v>
      </c>
      <c r="I124" s="1"/>
      <c r="J124" s="1" t="s">
        <v>63</v>
      </c>
      <c r="K124"/>
    </row>
    <row r="125" spans="5:11">
      <c r="E125" s="1">
        <v>20</v>
      </c>
      <c r="F125" s="4">
        <f t="shared" si="21"/>
        <v>72</v>
      </c>
      <c r="G125" s="7" t="s">
        <v>267</v>
      </c>
      <c r="H125" s="5" t="s">
        <v>64</v>
      </c>
      <c r="I125" s="6" t="s">
        <v>268</v>
      </c>
      <c r="J125" s="1" t="s">
        <v>66</v>
      </c>
      <c r="K125" s="1" t="s">
        <v>269</v>
      </c>
    </row>
    <row r="126" spans="5:11">
      <c r="E126" s="1">
        <v>21</v>
      </c>
      <c r="F126" s="4">
        <f t="shared" ref="F126:F135" si="22">F125+5</f>
        <v>77</v>
      </c>
      <c r="G126" s="7" t="s">
        <v>270</v>
      </c>
      <c r="H126" s="5" t="s">
        <v>68</v>
      </c>
      <c r="I126"/>
      <c r="J126" s="1" t="s">
        <v>69</v>
      </c>
      <c r="K126"/>
    </row>
    <row r="127" spans="5:11">
      <c r="E127" s="1">
        <v>22</v>
      </c>
      <c r="F127" s="4">
        <f t="shared" si="22"/>
        <v>82</v>
      </c>
      <c r="G127" s="7" t="s">
        <v>271</v>
      </c>
      <c r="H127" s="5" t="s">
        <v>70</v>
      </c>
      <c r="I127"/>
      <c r="J127" s="1" t="s">
        <v>71</v>
      </c>
      <c r="K127"/>
    </row>
    <row r="128" spans="5:11">
      <c r="E128" s="1">
        <v>23</v>
      </c>
      <c r="F128" s="4">
        <f t="shared" si="22"/>
        <v>87</v>
      </c>
      <c r="G128" s="7" t="s">
        <v>272</v>
      </c>
      <c r="H128" s="5" t="s">
        <v>72</v>
      </c>
      <c r="I128"/>
      <c r="J128" s="1" t="s">
        <v>73</v>
      </c>
      <c r="K128"/>
    </row>
    <row r="129" spans="5:11">
      <c r="E129" s="1">
        <v>24</v>
      </c>
      <c r="F129" s="4">
        <f t="shared" si="22"/>
        <v>92</v>
      </c>
      <c r="G129" s="7" t="s">
        <v>273</v>
      </c>
      <c r="H129" s="5" t="s">
        <v>74</v>
      </c>
      <c r="I129"/>
      <c r="J129" s="1" t="s">
        <v>75</v>
      </c>
      <c r="K129"/>
    </row>
    <row r="130" spans="5:11">
      <c r="E130" s="1">
        <v>25</v>
      </c>
      <c r="F130" s="4">
        <f t="shared" si="22"/>
        <v>97</v>
      </c>
      <c r="G130" s="7" t="s">
        <v>274</v>
      </c>
      <c r="H130" s="5" t="s">
        <v>76</v>
      </c>
      <c r="I130"/>
      <c r="J130" s="1" t="s">
        <v>77</v>
      </c>
      <c r="K130"/>
    </row>
    <row r="131" spans="5:11">
      <c r="E131" s="1">
        <v>26</v>
      </c>
      <c r="F131" s="4">
        <f t="shared" si="22"/>
        <v>102</v>
      </c>
      <c r="G131" s="7" t="s">
        <v>275</v>
      </c>
      <c r="H131" s="5" t="s">
        <v>78</v>
      </c>
      <c r="I131"/>
      <c r="J131" s="1" t="s">
        <v>79</v>
      </c>
      <c r="K131"/>
    </row>
    <row r="132" spans="5:11">
      <c r="E132" s="1">
        <v>27</v>
      </c>
      <c r="F132" s="4">
        <f t="shared" si="22"/>
        <v>107</v>
      </c>
      <c r="G132" s="7" t="s">
        <v>276</v>
      </c>
      <c r="H132" s="5" t="s">
        <v>80</v>
      </c>
      <c r="I132"/>
      <c r="J132" s="1" t="s">
        <v>81</v>
      </c>
      <c r="K132"/>
    </row>
    <row r="133" spans="5:11">
      <c r="E133" s="1">
        <v>28</v>
      </c>
      <c r="F133" s="4">
        <f t="shared" si="22"/>
        <v>112</v>
      </c>
      <c r="G133" s="7" t="s">
        <v>277</v>
      </c>
      <c r="H133" s="5" t="s">
        <v>82</v>
      </c>
      <c r="I133"/>
      <c r="J133" s="1" t="s">
        <v>83</v>
      </c>
      <c r="K133"/>
    </row>
    <row r="134" spans="5:11">
      <c r="E134" s="1">
        <v>29</v>
      </c>
      <c r="F134" s="4">
        <f t="shared" si="22"/>
        <v>117</v>
      </c>
      <c r="G134" s="7" t="s">
        <v>278</v>
      </c>
      <c r="H134" s="5" t="s">
        <v>84</v>
      </c>
      <c r="I134" s="1"/>
      <c r="J134" s="1" t="s">
        <v>85</v>
      </c>
      <c r="K134"/>
    </row>
    <row r="135" spans="5:11">
      <c r="E135" s="1">
        <v>30</v>
      </c>
      <c r="F135" s="4">
        <f t="shared" si="22"/>
        <v>122</v>
      </c>
      <c r="G135" s="7" t="s">
        <v>279</v>
      </c>
      <c r="H135" s="5" t="s">
        <v>86</v>
      </c>
      <c r="I135" s="6" t="s">
        <v>280</v>
      </c>
      <c r="J135" s="1" t="s">
        <v>88</v>
      </c>
      <c r="K135" s="1" t="s">
        <v>281</v>
      </c>
    </row>
    <row r="136" spans="5:11">
      <c r="E136" s="1">
        <v>31</v>
      </c>
      <c r="F136" s="4">
        <f t="shared" ref="F136:F145" si="23">F135+6</f>
        <v>128</v>
      </c>
      <c r="G136" s="7" t="s">
        <v>282</v>
      </c>
      <c r="H136" s="5" t="s">
        <v>90</v>
      </c>
      <c r="I136"/>
      <c r="J136" s="1" t="s">
        <v>91</v>
      </c>
      <c r="K136"/>
    </row>
    <row r="137" spans="5:11">
      <c r="E137" s="1">
        <v>32</v>
      </c>
      <c r="F137" s="4">
        <f t="shared" si="23"/>
        <v>134</v>
      </c>
      <c r="G137" s="7" t="s">
        <v>283</v>
      </c>
      <c r="H137" s="5" t="s">
        <v>92</v>
      </c>
      <c r="I137"/>
      <c r="J137" s="1" t="s">
        <v>93</v>
      </c>
      <c r="K137"/>
    </row>
    <row r="138" spans="5:11">
      <c r="E138" s="1">
        <v>33</v>
      </c>
      <c r="F138" s="4">
        <f t="shared" si="23"/>
        <v>140</v>
      </c>
      <c r="G138" s="7" t="s">
        <v>284</v>
      </c>
      <c r="H138" s="5" t="s">
        <v>94</v>
      </c>
      <c r="I138"/>
      <c r="J138" s="1" t="s">
        <v>95</v>
      </c>
      <c r="K138"/>
    </row>
    <row r="139" spans="5:11">
      <c r="E139" s="1">
        <v>34</v>
      </c>
      <c r="F139" s="4">
        <f t="shared" si="23"/>
        <v>146</v>
      </c>
      <c r="G139" s="7" t="s">
        <v>285</v>
      </c>
      <c r="H139" s="5" t="s">
        <v>96</v>
      </c>
      <c r="I139"/>
      <c r="J139" s="1" t="s">
        <v>97</v>
      </c>
      <c r="K139"/>
    </row>
    <row r="140" spans="5:11">
      <c r="E140" s="1">
        <v>35</v>
      </c>
      <c r="F140" s="4">
        <f t="shared" si="23"/>
        <v>152</v>
      </c>
      <c r="G140" s="7" t="s">
        <v>286</v>
      </c>
      <c r="H140" s="5" t="s">
        <v>98</v>
      </c>
      <c r="I140"/>
      <c r="J140" s="1" t="s">
        <v>99</v>
      </c>
      <c r="K140"/>
    </row>
    <row r="141" spans="5:11">
      <c r="E141" s="1">
        <v>36</v>
      </c>
      <c r="F141" s="4">
        <f t="shared" si="23"/>
        <v>158</v>
      </c>
      <c r="G141" s="7" t="s">
        <v>287</v>
      </c>
      <c r="H141" s="5" t="s">
        <v>100</v>
      </c>
      <c r="I141"/>
      <c r="J141" s="1" t="s">
        <v>101</v>
      </c>
      <c r="K141"/>
    </row>
    <row r="142" spans="5:11">
      <c r="E142" s="1">
        <v>37</v>
      </c>
      <c r="F142" s="4">
        <f t="shared" si="23"/>
        <v>164</v>
      </c>
      <c r="G142" s="7" t="s">
        <v>288</v>
      </c>
      <c r="H142" s="5" t="s">
        <v>102</v>
      </c>
      <c r="I142"/>
      <c r="J142" s="1" t="s">
        <v>103</v>
      </c>
      <c r="K142"/>
    </row>
    <row r="143" spans="5:11">
      <c r="E143" s="1">
        <v>38</v>
      </c>
      <c r="F143" s="4">
        <f t="shared" si="23"/>
        <v>170</v>
      </c>
      <c r="G143" s="7" t="s">
        <v>289</v>
      </c>
      <c r="H143" s="5" t="s">
        <v>104</v>
      </c>
      <c r="I143"/>
      <c r="J143" s="1" t="s">
        <v>105</v>
      </c>
      <c r="K143"/>
    </row>
    <row r="144" spans="5:11">
      <c r="E144" s="1">
        <v>39</v>
      </c>
      <c r="F144" s="4">
        <f t="shared" si="23"/>
        <v>176</v>
      </c>
      <c r="G144" s="7" t="s">
        <v>290</v>
      </c>
      <c r="H144" s="5" t="s">
        <v>106</v>
      </c>
      <c r="I144" s="1"/>
      <c r="J144" s="1" t="s">
        <v>107</v>
      </c>
      <c r="K144"/>
    </row>
    <row r="145" spans="5:11">
      <c r="E145" s="1">
        <v>40</v>
      </c>
      <c r="F145" s="4">
        <f t="shared" si="23"/>
        <v>182</v>
      </c>
      <c r="G145" s="7" t="s">
        <v>291</v>
      </c>
      <c r="H145" s="5" t="s">
        <v>108</v>
      </c>
      <c r="I145" s="6" t="s">
        <v>292</v>
      </c>
      <c r="J145" s="1" t="s">
        <v>110</v>
      </c>
      <c r="K145" s="1" t="s">
        <v>293</v>
      </c>
    </row>
    <row r="146" spans="5:11">
      <c r="E146" s="1">
        <v>41</v>
      </c>
      <c r="F146" s="4">
        <f t="shared" ref="F146:F155" si="24">F145+7</f>
        <v>189</v>
      </c>
      <c r="G146" s="7" t="s">
        <v>294</v>
      </c>
      <c r="H146" s="5" t="s">
        <v>112</v>
      </c>
      <c r="I146"/>
      <c r="J146" s="1" t="s">
        <v>113</v>
      </c>
      <c r="K146"/>
    </row>
    <row r="147" spans="5:11">
      <c r="E147" s="1">
        <v>42</v>
      </c>
      <c r="F147" s="4">
        <f t="shared" si="24"/>
        <v>196</v>
      </c>
      <c r="G147" s="7" t="s">
        <v>295</v>
      </c>
      <c r="H147" s="5" t="s">
        <v>114</v>
      </c>
      <c r="I147"/>
      <c r="J147" s="1" t="s">
        <v>115</v>
      </c>
      <c r="K147"/>
    </row>
    <row r="148" spans="5:11">
      <c r="E148" s="1">
        <v>43</v>
      </c>
      <c r="F148" s="4">
        <f t="shared" si="24"/>
        <v>203</v>
      </c>
      <c r="G148" s="7" t="s">
        <v>296</v>
      </c>
      <c r="H148" s="5" t="s">
        <v>116</v>
      </c>
      <c r="I148"/>
      <c r="J148" s="1" t="s">
        <v>117</v>
      </c>
      <c r="K148"/>
    </row>
    <row r="149" spans="5:11">
      <c r="E149" s="1">
        <v>44</v>
      </c>
      <c r="F149" s="4">
        <f t="shared" si="24"/>
        <v>210</v>
      </c>
      <c r="G149" s="7" t="s">
        <v>297</v>
      </c>
      <c r="H149" s="5" t="s">
        <v>118</v>
      </c>
      <c r="I149"/>
      <c r="J149" s="1" t="s">
        <v>119</v>
      </c>
      <c r="K149"/>
    </row>
    <row r="150" spans="5:11">
      <c r="E150" s="1">
        <v>45</v>
      </c>
      <c r="F150" s="4">
        <f t="shared" si="24"/>
        <v>217</v>
      </c>
      <c r="G150" s="7" t="s">
        <v>298</v>
      </c>
      <c r="H150" s="5" t="s">
        <v>120</v>
      </c>
      <c r="I150"/>
      <c r="J150" s="1" t="s">
        <v>121</v>
      </c>
      <c r="K150"/>
    </row>
    <row r="151" spans="5:11">
      <c r="E151" s="1">
        <v>46</v>
      </c>
      <c r="F151" s="4">
        <f t="shared" si="24"/>
        <v>224</v>
      </c>
      <c r="G151" s="7" t="s">
        <v>299</v>
      </c>
      <c r="H151" s="5" t="s">
        <v>122</v>
      </c>
      <c r="I151"/>
      <c r="J151" s="1" t="s">
        <v>123</v>
      </c>
      <c r="K151"/>
    </row>
    <row r="152" spans="5:11">
      <c r="E152" s="1">
        <v>47</v>
      </c>
      <c r="F152" s="4">
        <f t="shared" si="24"/>
        <v>231</v>
      </c>
      <c r="G152" s="7" t="s">
        <v>300</v>
      </c>
      <c r="H152" s="5" t="s">
        <v>124</v>
      </c>
      <c r="I152"/>
      <c r="J152" s="1" t="s">
        <v>125</v>
      </c>
      <c r="K152"/>
    </row>
    <row r="153" spans="5:11">
      <c r="E153" s="1">
        <v>48</v>
      </c>
      <c r="F153" s="4">
        <f t="shared" si="24"/>
        <v>238</v>
      </c>
      <c r="G153" s="7" t="s">
        <v>301</v>
      </c>
      <c r="H153" s="5" t="s">
        <v>126</v>
      </c>
      <c r="I153"/>
      <c r="J153" s="1" t="s">
        <v>127</v>
      </c>
      <c r="K153"/>
    </row>
    <row r="154" spans="5:11">
      <c r="E154" s="1">
        <v>49</v>
      </c>
      <c r="F154" s="4">
        <f t="shared" si="24"/>
        <v>245</v>
      </c>
      <c r="G154" s="7" t="s">
        <v>302</v>
      </c>
      <c r="H154" s="5" t="s">
        <v>128</v>
      </c>
      <c r="I154" s="1"/>
      <c r="J154" s="1" t="s">
        <v>129</v>
      </c>
      <c r="K154"/>
    </row>
    <row r="155" spans="5:11">
      <c r="E155" s="1">
        <v>50</v>
      </c>
      <c r="F155" s="4">
        <f t="shared" si="24"/>
        <v>252</v>
      </c>
      <c r="G155" s="7" t="s">
        <v>303</v>
      </c>
      <c r="H155" s="5" t="s">
        <v>130</v>
      </c>
      <c r="I155" s="6" t="s">
        <v>304</v>
      </c>
      <c r="J155" s="1" t="s">
        <v>132</v>
      </c>
      <c r="K155" s="1" t="s">
        <v>305</v>
      </c>
    </row>
    <row r="156" spans="5:11">
      <c r="E156" s="1">
        <v>51</v>
      </c>
      <c r="F156" s="4">
        <f t="shared" ref="F156:F165" si="25">F155+8</f>
        <v>260</v>
      </c>
      <c r="G156" s="7" t="s">
        <v>306</v>
      </c>
      <c r="H156" s="5" t="s">
        <v>134</v>
      </c>
      <c r="I156"/>
      <c r="J156" s="1" t="s">
        <v>135</v>
      </c>
      <c r="K156"/>
    </row>
    <row r="157" spans="5:11">
      <c r="E157" s="1">
        <v>52</v>
      </c>
      <c r="F157" s="4">
        <f t="shared" si="25"/>
        <v>268</v>
      </c>
      <c r="G157" s="7" t="s">
        <v>307</v>
      </c>
      <c r="H157" s="5" t="s">
        <v>136</v>
      </c>
      <c r="I157"/>
      <c r="J157" s="1" t="s">
        <v>137</v>
      </c>
      <c r="K157"/>
    </row>
    <row r="158" spans="5:11">
      <c r="E158" s="1">
        <v>53</v>
      </c>
      <c r="F158" s="4">
        <f t="shared" si="25"/>
        <v>276</v>
      </c>
      <c r="G158" s="7" t="s">
        <v>308</v>
      </c>
      <c r="H158" s="5" t="s">
        <v>138</v>
      </c>
      <c r="I158"/>
      <c r="J158" s="1" t="s">
        <v>139</v>
      </c>
      <c r="K158"/>
    </row>
    <row r="159" spans="5:11">
      <c r="E159" s="1">
        <v>54</v>
      </c>
      <c r="F159" s="4">
        <f t="shared" si="25"/>
        <v>284</v>
      </c>
      <c r="G159" s="7" t="s">
        <v>309</v>
      </c>
      <c r="H159" s="5" t="s">
        <v>140</v>
      </c>
      <c r="I159"/>
      <c r="J159" s="1" t="s">
        <v>141</v>
      </c>
      <c r="K159"/>
    </row>
    <row r="160" spans="5:11">
      <c r="E160" s="1">
        <v>55</v>
      </c>
      <c r="F160" s="4">
        <f t="shared" si="25"/>
        <v>292</v>
      </c>
      <c r="G160" s="7" t="s">
        <v>310</v>
      </c>
      <c r="H160" s="5" t="s">
        <v>142</v>
      </c>
      <c r="I160"/>
      <c r="J160" s="1" t="s">
        <v>143</v>
      </c>
      <c r="K160"/>
    </row>
    <row r="161" spans="5:11">
      <c r="E161" s="1">
        <v>56</v>
      </c>
      <c r="F161" s="4">
        <f t="shared" si="25"/>
        <v>300</v>
      </c>
      <c r="G161" s="7" t="s">
        <v>311</v>
      </c>
      <c r="H161" s="5" t="s">
        <v>144</v>
      </c>
      <c r="I161"/>
      <c r="J161" s="1" t="s">
        <v>145</v>
      </c>
      <c r="K161"/>
    </row>
    <row r="162" spans="5:11">
      <c r="E162" s="1">
        <v>57</v>
      </c>
      <c r="F162" s="4">
        <f t="shared" si="25"/>
        <v>308</v>
      </c>
      <c r="G162" s="7" t="s">
        <v>312</v>
      </c>
      <c r="H162" s="5" t="s">
        <v>146</v>
      </c>
      <c r="I162"/>
      <c r="J162" s="1" t="s">
        <v>147</v>
      </c>
      <c r="K162"/>
    </row>
    <row r="163" spans="5:11">
      <c r="E163" s="1">
        <v>58</v>
      </c>
      <c r="F163" s="4">
        <f t="shared" si="25"/>
        <v>316</v>
      </c>
      <c r="G163" s="7" t="s">
        <v>313</v>
      </c>
      <c r="H163" s="5" t="s">
        <v>148</v>
      </c>
      <c r="I163"/>
      <c r="J163" s="1" t="s">
        <v>149</v>
      </c>
      <c r="K163"/>
    </row>
    <row r="164" spans="5:11">
      <c r="E164" s="1">
        <v>59</v>
      </c>
      <c r="F164" s="4">
        <f t="shared" si="25"/>
        <v>324</v>
      </c>
      <c r="G164" s="7" t="s">
        <v>314</v>
      </c>
      <c r="H164" s="5" t="s">
        <v>150</v>
      </c>
      <c r="I164" s="1"/>
      <c r="J164" s="1" t="s">
        <v>151</v>
      </c>
      <c r="K164"/>
    </row>
    <row r="165" spans="5:11">
      <c r="E165" s="1">
        <v>60</v>
      </c>
      <c r="F165" s="4">
        <f t="shared" si="25"/>
        <v>332</v>
      </c>
      <c r="G165" s="7" t="s">
        <v>315</v>
      </c>
      <c r="H165" s="5" t="s">
        <v>152</v>
      </c>
      <c r="I165" s="6" t="s">
        <v>316</v>
      </c>
      <c r="J165" s="1" t="s">
        <v>154</v>
      </c>
      <c r="K165" s="1" t="s">
        <v>317</v>
      </c>
    </row>
    <row r="166" spans="5:11">
      <c r="E166" s="1">
        <v>61</v>
      </c>
      <c r="F166" s="4">
        <f t="shared" ref="F166:F175" si="26">F165+9</f>
        <v>341</v>
      </c>
      <c r="G166" s="7" t="s">
        <v>318</v>
      </c>
      <c r="H166" s="5" t="s">
        <v>156</v>
      </c>
      <c r="I166"/>
      <c r="J166" s="1" t="s">
        <v>157</v>
      </c>
      <c r="K166"/>
    </row>
    <row r="167" spans="5:11">
      <c r="E167" s="1">
        <v>62</v>
      </c>
      <c r="F167" s="4">
        <f t="shared" si="26"/>
        <v>350</v>
      </c>
      <c r="G167" s="7" t="s">
        <v>319</v>
      </c>
      <c r="H167" s="5" t="s">
        <v>158</v>
      </c>
      <c r="I167"/>
      <c r="J167" s="1" t="s">
        <v>159</v>
      </c>
      <c r="K167"/>
    </row>
    <row r="168" spans="5:11">
      <c r="E168" s="1">
        <v>63</v>
      </c>
      <c r="F168" s="4">
        <f t="shared" si="26"/>
        <v>359</v>
      </c>
      <c r="G168" s="7" t="s">
        <v>320</v>
      </c>
      <c r="H168" s="5" t="s">
        <v>160</v>
      </c>
      <c r="I168"/>
      <c r="J168" s="1" t="s">
        <v>161</v>
      </c>
      <c r="K168"/>
    </row>
    <row r="169" spans="5:11">
      <c r="E169" s="1">
        <v>64</v>
      </c>
      <c r="F169" s="4">
        <f t="shared" si="26"/>
        <v>368</v>
      </c>
      <c r="G169" s="7" t="s">
        <v>321</v>
      </c>
      <c r="H169" s="5" t="s">
        <v>162</v>
      </c>
      <c r="I169"/>
      <c r="J169" s="1" t="s">
        <v>163</v>
      </c>
      <c r="K169"/>
    </row>
    <row r="170" spans="5:11">
      <c r="E170" s="1">
        <v>65</v>
      </c>
      <c r="F170" s="4">
        <f t="shared" si="26"/>
        <v>377</v>
      </c>
      <c r="G170" s="7" t="s">
        <v>322</v>
      </c>
      <c r="H170" s="5" t="s">
        <v>164</v>
      </c>
      <c r="I170"/>
      <c r="J170" s="1" t="s">
        <v>165</v>
      </c>
      <c r="K170"/>
    </row>
    <row r="171" spans="5:11">
      <c r="E171" s="1">
        <v>66</v>
      </c>
      <c r="F171" s="4">
        <f t="shared" si="26"/>
        <v>386</v>
      </c>
      <c r="G171" s="7" t="s">
        <v>323</v>
      </c>
      <c r="H171" s="5" t="s">
        <v>166</v>
      </c>
      <c r="I171"/>
      <c r="J171" s="1" t="s">
        <v>167</v>
      </c>
      <c r="K171"/>
    </row>
    <row r="172" spans="5:11">
      <c r="E172" s="1">
        <v>67</v>
      </c>
      <c r="F172" s="4">
        <f t="shared" si="26"/>
        <v>395</v>
      </c>
      <c r="G172" s="7" t="s">
        <v>324</v>
      </c>
      <c r="H172" s="5" t="s">
        <v>168</v>
      </c>
      <c r="I172"/>
      <c r="J172" s="1" t="s">
        <v>169</v>
      </c>
      <c r="K172"/>
    </row>
    <row r="173" spans="5:11">
      <c r="E173" s="1">
        <v>68</v>
      </c>
      <c r="F173" s="4">
        <f t="shared" si="26"/>
        <v>404</v>
      </c>
      <c r="G173" s="7" t="s">
        <v>325</v>
      </c>
      <c r="H173" s="5" t="s">
        <v>170</v>
      </c>
      <c r="I173"/>
      <c r="J173" s="1" t="s">
        <v>171</v>
      </c>
      <c r="K173"/>
    </row>
    <row r="174" spans="5:11">
      <c r="E174" s="1">
        <v>69</v>
      </c>
      <c r="F174" s="4">
        <f t="shared" si="26"/>
        <v>413</v>
      </c>
      <c r="G174" s="7" t="s">
        <v>326</v>
      </c>
      <c r="H174" s="5" t="s">
        <v>172</v>
      </c>
      <c r="I174" s="1"/>
      <c r="J174" s="1" t="s">
        <v>173</v>
      </c>
      <c r="K174"/>
    </row>
    <row r="175" spans="5:11">
      <c r="E175" s="1">
        <v>70</v>
      </c>
      <c r="F175" s="4">
        <f t="shared" si="26"/>
        <v>422</v>
      </c>
      <c r="G175" s="7" t="s">
        <v>327</v>
      </c>
      <c r="H175" s="5" t="s">
        <v>174</v>
      </c>
      <c r="I175" s="6" t="s">
        <v>328</v>
      </c>
      <c r="J175" s="1" t="s">
        <v>176</v>
      </c>
      <c r="K175" s="1" t="s">
        <v>329</v>
      </c>
    </row>
    <row r="176" spans="5:11">
      <c r="E176" s="1">
        <v>71</v>
      </c>
      <c r="F176" s="4">
        <f t="shared" ref="F176:F185" si="27">F175+10</f>
        <v>432</v>
      </c>
      <c r="G176" s="7" t="s">
        <v>330</v>
      </c>
      <c r="H176" s="5" t="s">
        <v>178</v>
      </c>
      <c r="I176"/>
      <c r="J176" s="1" t="s">
        <v>179</v>
      </c>
      <c r="K176"/>
    </row>
    <row r="177" spans="5:11">
      <c r="E177" s="1">
        <v>72</v>
      </c>
      <c r="F177" s="4">
        <f t="shared" si="27"/>
        <v>442</v>
      </c>
      <c r="G177" s="7" t="s">
        <v>331</v>
      </c>
      <c r="H177" s="5" t="s">
        <v>180</v>
      </c>
      <c r="I177"/>
      <c r="J177" s="1" t="s">
        <v>181</v>
      </c>
      <c r="K177"/>
    </row>
    <row r="178" spans="5:11">
      <c r="E178" s="1">
        <v>73</v>
      </c>
      <c r="F178" s="4">
        <f t="shared" si="27"/>
        <v>452</v>
      </c>
      <c r="G178" s="7" t="s">
        <v>332</v>
      </c>
      <c r="H178" s="5" t="s">
        <v>182</v>
      </c>
      <c r="I178"/>
      <c r="J178" s="1" t="s">
        <v>183</v>
      </c>
      <c r="K178"/>
    </row>
    <row r="179" spans="5:11">
      <c r="E179" s="1">
        <v>74</v>
      </c>
      <c r="F179" s="4">
        <f t="shared" si="27"/>
        <v>462</v>
      </c>
      <c r="G179" s="7" t="s">
        <v>333</v>
      </c>
      <c r="H179" s="5" t="s">
        <v>184</v>
      </c>
      <c r="I179"/>
      <c r="J179" s="1" t="s">
        <v>185</v>
      </c>
      <c r="K179"/>
    </row>
    <row r="180" spans="5:11">
      <c r="E180" s="1">
        <v>75</v>
      </c>
      <c r="F180" s="4">
        <f t="shared" si="27"/>
        <v>472</v>
      </c>
      <c r="G180" s="7" t="s">
        <v>334</v>
      </c>
      <c r="H180" s="5" t="s">
        <v>186</v>
      </c>
      <c r="I180"/>
      <c r="J180" s="1" t="s">
        <v>187</v>
      </c>
      <c r="K180"/>
    </row>
    <row r="181" spans="5:11">
      <c r="E181" s="1">
        <v>76</v>
      </c>
      <c r="F181" s="4">
        <f t="shared" si="27"/>
        <v>482</v>
      </c>
      <c r="G181" s="7" t="s">
        <v>335</v>
      </c>
      <c r="H181" s="5" t="s">
        <v>188</v>
      </c>
      <c r="I181"/>
      <c r="J181" s="1" t="s">
        <v>189</v>
      </c>
      <c r="K181"/>
    </row>
    <row r="182" spans="5:11">
      <c r="E182" s="1">
        <v>77</v>
      </c>
      <c r="F182" s="4">
        <f t="shared" si="27"/>
        <v>492</v>
      </c>
      <c r="G182" s="7" t="s">
        <v>336</v>
      </c>
      <c r="H182" s="5" t="s">
        <v>190</v>
      </c>
      <c r="I182"/>
      <c r="J182" s="1" t="s">
        <v>191</v>
      </c>
      <c r="K182"/>
    </row>
    <row r="183" spans="5:11">
      <c r="E183" s="1">
        <v>78</v>
      </c>
      <c r="F183" s="4">
        <f t="shared" si="27"/>
        <v>502</v>
      </c>
      <c r="G183" s="7" t="s">
        <v>337</v>
      </c>
      <c r="H183" s="5" t="s">
        <v>192</v>
      </c>
      <c r="I183"/>
      <c r="J183" s="1" t="s">
        <v>193</v>
      </c>
      <c r="K183"/>
    </row>
    <row r="184" spans="5:11">
      <c r="E184" s="1">
        <v>79</v>
      </c>
      <c r="F184" s="4">
        <f t="shared" si="27"/>
        <v>512</v>
      </c>
      <c r="G184" s="7" t="s">
        <v>338</v>
      </c>
      <c r="H184" s="5" t="s">
        <v>194</v>
      </c>
      <c r="I184" s="1"/>
      <c r="J184" s="1" t="s">
        <v>195</v>
      </c>
      <c r="K184"/>
    </row>
    <row r="185" spans="5:11">
      <c r="E185" s="1">
        <v>80</v>
      </c>
      <c r="F185" s="4">
        <f t="shared" si="27"/>
        <v>522</v>
      </c>
      <c r="G185" s="7" t="s">
        <v>339</v>
      </c>
      <c r="H185" s="5" t="s">
        <v>196</v>
      </c>
      <c r="I185" s="6" t="s">
        <v>340</v>
      </c>
      <c r="J185" s="1" t="s">
        <v>198</v>
      </c>
      <c r="K185" s="1" t="s">
        <v>341</v>
      </c>
    </row>
    <row r="186" spans="5:11">
      <c r="E186" s="1">
        <v>81</v>
      </c>
      <c r="F186" s="4">
        <f t="shared" ref="F186:F195" si="28">F185+11</f>
        <v>533</v>
      </c>
      <c r="G186" s="7" t="s">
        <v>342</v>
      </c>
      <c r="H186" s="5" t="s">
        <v>200</v>
      </c>
      <c r="I186"/>
      <c r="J186" s="1" t="s">
        <v>201</v>
      </c>
      <c r="K186"/>
    </row>
    <row r="187" spans="5:11">
      <c r="E187" s="1">
        <v>82</v>
      </c>
      <c r="F187" s="4">
        <f t="shared" si="28"/>
        <v>544</v>
      </c>
      <c r="G187" s="7" t="s">
        <v>343</v>
      </c>
      <c r="H187" s="5" t="s">
        <v>202</v>
      </c>
      <c r="I187"/>
      <c r="J187" s="1" t="s">
        <v>203</v>
      </c>
      <c r="K187"/>
    </row>
    <row r="188" spans="5:11">
      <c r="E188" s="1">
        <v>83</v>
      </c>
      <c r="F188" s="4">
        <f t="shared" si="28"/>
        <v>555</v>
      </c>
      <c r="G188" s="7" t="s">
        <v>344</v>
      </c>
      <c r="H188" s="5" t="s">
        <v>204</v>
      </c>
      <c r="I188"/>
      <c r="J188" s="1" t="s">
        <v>205</v>
      </c>
      <c r="K188"/>
    </row>
    <row r="189" spans="5:11">
      <c r="E189" s="1">
        <v>84</v>
      </c>
      <c r="F189" s="4">
        <f t="shared" si="28"/>
        <v>566</v>
      </c>
      <c r="G189" s="7" t="s">
        <v>345</v>
      </c>
      <c r="H189" s="5" t="s">
        <v>206</v>
      </c>
      <c r="I189"/>
      <c r="J189" s="1" t="s">
        <v>207</v>
      </c>
      <c r="K189"/>
    </row>
    <row r="190" spans="5:11">
      <c r="E190" s="1">
        <v>85</v>
      </c>
      <c r="F190" s="4">
        <f t="shared" si="28"/>
        <v>577</v>
      </c>
      <c r="G190" s="7" t="s">
        <v>346</v>
      </c>
      <c r="H190" s="5" t="s">
        <v>208</v>
      </c>
      <c r="I190"/>
      <c r="J190" s="1" t="s">
        <v>209</v>
      </c>
      <c r="K190"/>
    </row>
    <row r="191" spans="5:11">
      <c r="E191" s="1">
        <v>86</v>
      </c>
      <c r="F191" s="4">
        <f t="shared" si="28"/>
        <v>588</v>
      </c>
      <c r="G191" s="7" t="s">
        <v>347</v>
      </c>
      <c r="H191" s="5" t="s">
        <v>210</v>
      </c>
      <c r="I191"/>
      <c r="J191" s="1" t="s">
        <v>211</v>
      </c>
      <c r="K191"/>
    </row>
    <row r="192" spans="5:11">
      <c r="E192" s="1">
        <v>87</v>
      </c>
      <c r="F192" s="4">
        <f t="shared" si="28"/>
        <v>599</v>
      </c>
      <c r="G192" s="7" t="s">
        <v>348</v>
      </c>
      <c r="H192" s="5" t="s">
        <v>212</v>
      </c>
      <c r="I192"/>
      <c r="J192" s="1" t="s">
        <v>213</v>
      </c>
      <c r="K192"/>
    </row>
    <row r="193" spans="2:11">
      <c r="E193" s="1">
        <v>88</v>
      </c>
      <c r="F193" s="4">
        <f t="shared" si="28"/>
        <v>610</v>
      </c>
      <c r="G193" s="7" t="s">
        <v>349</v>
      </c>
      <c r="H193" s="5" t="s">
        <v>214</v>
      </c>
      <c r="I193"/>
      <c r="J193" s="1" t="s">
        <v>215</v>
      </c>
      <c r="K193"/>
    </row>
    <row r="194" spans="2:11">
      <c r="E194" s="1">
        <v>89</v>
      </c>
      <c r="F194" s="4">
        <f t="shared" si="28"/>
        <v>621</v>
      </c>
      <c r="G194" s="7" t="s">
        <v>350</v>
      </c>
      <c r="H194" s="5" t="s">
        <v>216</v>
      </c>
      <c r="I194" s="1"/>
      <c r="J194" s="1" t="s">
        <v>217</v>
      </c>
      <c r="K194"/>
    </row>
    <row r="195" spans="2:11">
      <c r="E195" s="1">
        <v>90</v>
      </c>
      <c r="F195" s="4">
        <f t="shared" si="28"/>
        <v>632</v>
      </c>
      <c r="G195" s="7" t="s">
        <v>351</v>
      </c>
      <c r="H195" s="5" t="s">
        <v>218</v>
      </c>
      <c r="I195" s="6" t="s">
        <v>352</v>
      </c>
      <c r="J195" s="1" t="s">
        <v>220</v>
      </c>
      <c r="K195" s="1" t="s">
        <v>353</v>
      </c>
    </row>
    <row r="196" spans="2:11">
      <c r="E196" s="1">
        <v>91</v>
      </c>
      <c r="F196" s="4">
        <f t="shared" ref="F196:F205" si="29">F195+12</f>
        <v>644</v>
      </c>
      <c r="G196" s="7" t="s">
        <v>354</v>
      </c>
      <c r="H196" s="5" t="s">
        <v>222</v>
      </c>
      <c r="I196"/>
      <c r="J196" s="1" t="s">
        <v>223</v>
      </c>
      <c r="K196"/>
    </row>
    <row r="197" spans="2:11">
      <c r="E197" s="1">
        <v>92</v>
      </c>
      <c r="F197" s="4">
        <f t="shared" si="29"/>
        <v>656</v>
      </c>
      <c r="G197" s="7" t="s">
        <v>355</v>
      </c>
      <c r="H197" s="5" t="s">
        <v>224</v>
      </c>
      <c r="I197"/>
      <c r="J197" s="1" t="s">
        <v>225</v>
      </c>
      <c r="K197"/>
    </row>
    <row r="198" spans="2:11">
      <c r="E198" s="1">
        <v>93</v>
      </c>
      <c r="F198" s="4">
        <f t="shared" si="29"/>
        <v>668</v>
      </c>
      <c r="G198" s="7" t="s">
        <v>356</v>
      </c>
      <c r="H198" s="5" t="s">
        <v>226</v>
      </c>
      <c r="I198"/>
      <c r="J198" s="1" t="s">
        <v>227</v>
      </c>
      <c r="K198"/>
    </row>
    <row r="199" spans="2:11">
      <c r="E199" s="1">
        <v>94</v>
      </c>
      <c r="F199" s="4">
        <f t="shared" si="29"/>
        <v>680</v>
      </c>
      <c r="G199" s="7" t="s">
        <v>357</v>
      </c>
      <c r="H199" s="5" t="s">
        <v>228</v>
      </c>
      <c r="I199"/>
      <c r="J199" s="1" t="s">
        <v>229</v>
      </c>
      <c r="K199"/>
    </row>
    <row r="200" spans="2:11">
      <c r="E200" s="1">
        <v>95</v>
      </c>
      <c r="F200" s="4">
        <f t="shared" si="29"/>
        <v>692</v>
      </c>
      <c r="G200" s="7" t="s">
        <v>358</v>
      </c>
      <c r="H200" s="5" t="s">
        <v>230</v>
      </c>
      <c r="I200"/>
      <c r="J200" s="1" t="s">
        <v>231</v>
      </c>
      <c r="K200"/>
    </row>
    <row r="201" spans="2:11">
      <c r="E201" s="1">
        <v>96</v>
      </c>
      <c r="F201" s="4">
        <f t="shared" si="29"/>
        <v>704</v>
      </c>
      <c r="G201" s="7" t="s">
        <v>359</v>
      </c>
      <c r="H201" s="5" t="s">
        <v>232</v>
      </c>
      <c r="I201"/>
      <c r="J201" s="1" t="s">
        <v>233</v>
      </c>
      <c r="K201"/>
    </row>
    <row r="202" spans="2:11">
      <c r="E202" s="1">
        <v>97</v>
      </c>
      <c r="F202" s="4">
        <f t="shared" si="29"/>
        <v>716</v>
      </c>
      <c r="G202" s="7" t="s">
        <v>360</v>
      </c>
      <c r="H202" s="5" t="s">
        <v>234</v>
      </c>
      <c r="I202"/>
      <c r="J202" s="1" t="s">
        <v>235</v>
      </c>
      <c r="K202"/>
    </row>
    <row r="203" spans="2:11">
      <c r="E203" s="1">
        <v>98</v>
      </c>
      <c r="F203" s="4">
        <f t="shared" si="29"/>
        <v>728</v>
      </c>
      <c r="G203" s="7" t="s">
        <v>361</v>
      </c>
      <c r="H203" s="5" t="s">
        <v>236</v>
      </c>
      <c r="I203"/>
      <c r="J203" s="1" t="s">
        <v>237</v>
      </c>
      <c r="K203"/>
    </row>
    <row r="204" spans="2:11">
      <c r="E204" s="1">
        <v>99</v>
      </c>
      <c r="F204" s="4">
        <f t="shared" si="29"/>
        <v>740</v>
      </c>
      <c r="G204" s="7" t="s">
        <v>362</v>
      </c>
      <c r="H204" s="5" t="s">
        <v>238</v>
      </c>
      <c r="I204" s="6"/>
      <c r="J204" s="1" t="s">
        <v>239</v>
      </c>
      <c r="K204"/>
    </row>
    <row r="205" spans="2:11">
      <c r="E205" s="1">
        <v>100</v>
      </c>
      <c r="F205" s="4">
        <f t="shared" si="29"/>
        <v>752</v>
      </c>
      <c r="G205" s="7"/>
      <c r="H205" s="5" t="s">
        <v>240</v>
      </c>
      <c r="I205" s="6" t="s">
        <v>363</v>
      </c>
      <c r="J205" s="1" t="s">
        <v>242</v>
      </c>
      <c r="K205" s="1" t="s">
        <v>364</v>
      </c>
    </row>
    <row r="206" spans="2:11">
      <c r="F206" s="1"/>
      <c r="G206"/>
    </row>
    <row r="207" spans="2:11">
      <c r="B207" s="2" t="s">
        <v>365</v>
      </c>
      <c r="C207" s="1" t="s">
        <v>366</v>
      </c>
      <c r="E207" s="1">
        <v>1</v>
      </c>
      <c r="F207" s="4">
        <v>5</v>
      </c>
      <c r="G207" s="7" t="s">
        <v>367</v>
      </c>
      <c r="H207" s="5" t="s">
        <v>24</v>
      </c>
      <c r="I207" s="1"/>
      <c r="J207" s="1" t="s">
        <v>25</v>
      </c>
      <c r="K207"/>
    </row>
    <row r="208" spans="2:11">
      <c r="E208" s="1">
        <v>2</v>
      </c>
      <c r="F208" s="4">
        <f t="shared" ref="F208:F216" si="30">F207+3</f>
        <v>8</v>
      </c>
      <c r="G208" s="7" t="s">
        <v>368</v>
      </c>
      <c r="H208" s="5" t="s">
        <v>26</v>
      </c>
      <c r="I208" s="1"/>
      <c r="J208" s="1" t="s">
        <v>27</v>
      </c>
      <c r="K208"/>
    </row>
    <row r="209" spans="5:11">
      <c r="E209" s="1">
        <v>3</v>
      </c>
      <c r="F209" s="4">
        <f t="shared" si="30"/>
        <v>11</v>
      </c>
      <c r="G209" s="7" t="s">
        <v>369</v>
      </c>
      <c r="H209" s="5" t="s">
        <v>28</v>
      </c>
      <c r="I209" s="1"/>
      <c r="J209" s="1" t="s">
        <v>29</v>
      </c>
      <c r="K209"/>
    </row>
    <row r="210" spans="5:11">
      <c r="E210" s="1">
        <v>4</v>
      </c>
      <c r="F210" s="4">
        <f t="shared" si="30"/>
        <v>14</v>
      </c>
      <c r="G210" s="7" t="s">
        <v>370</v>
      </c>
      <c r="H210" s="5" t="s">
        <v>30</v>
      </c>
      <c r="I210" s="1"/>
      <c r="J210" s="1" t="s">
        <v>31</v>
      </c>
      <c r="K210"/>
    </row>
    <row r="211" spans="5:11">
      <c r="E211" s="1">
        <v>5</v>
      </c>
      <c r="F211" s="4">
        <f t="shared" si="30"/>
        <v>17</v>
      </c>
      <c r="G211" s="7" t="s">
        <v>371</v>
      </c>
      <c r="H211" s="5" t="s">
        <v>32</v>
      </c>
      <c r="I211" s="1"/>
      <c r="J211" s="1" t="s">
        <v>33</v>
      </c>
      <c r="K211"/>
    </row>
    <row r="212" spans="5:11">
      <c r="E212" s="1">
        <v>6</v>
      </c>
      <c r="F212" s="4">
        <f t="shared" si="30"/>
        <v>20</v>
      </c>
      <c r="G212" s="7" t="s">
        <v>372</v>
      </c>
      <c r="H212" s="5" t="s">
        <v>34</v>
      </c>
      <c r="I212" s="1"/>
      <c r="J212" s="1" t="s">
        <v>35</v>
      </c>
      <c r="K212"/>
    </row>
    <row r="213" spans="5:11">
      <c r="E213" s="1">
        <v>7</v>
      </c>
      <c r="F213" s="4">
        <f t="shared" si="30"/>
        <v>23</v>
      </c>
      <c r="G213" s="7" t="s">
        <v>373</v>
      </c>
      <c r="H213" s="5" t="s">
        <v>36</v>
      </c>
      <c r="I213" s="1"/>
      <c r="J213" s="1" t="s">
        <v>37</v>
      </c>
      <c r="K213"/>
    </row>
    <row r="214" spans="5:11">
      <c r="E214" s="1">
        <v>8</v>
      </c>
      <c r="F214" s="4">
        <f t="shared" si="30"/>
        <v>26</v>
      </c>
      <c r="G214" s="7" t="s">
        <v>374</v>
      </c>
      <c r="H214" s="5" t="s">
        <v>38</v>
      </c>
      <c r="I214" s="1"/>
      <c r="J214" s="1" t="s">
        <v>39</v>
      </c>
      <c r="K214"/>
    </row>
    <row r="215" spans="5:11">
      <c r="E215" s="1">
        <v>9</v>
      </c>
      <c r="F215" s="4">
        <f t="shared" si="30"/>
        <v>29</v>
      </c>
      <c r="G215" s="7" t="s">
        <v>375</v>
      </c>
      <c r="H215" s="5" t="s">
        <v>40</v>
      </c>
      <c r="I215" s="1"/>
      <c r="J215" s="1" t="s">
        <v>41</v>
      </c>
      <c r="K215"/>
    </row>
    <row r="216" spans="5:11">
      <c r="E216" s="1">
        <v>10</v>
      </c>
      <c r="F216" s="4">
        <f t="shared" si="30"/>
        <v>32</v>
      </c>
      <c r="G216" s="7" t="s">
        <v>376</v>
      </c>
      <c r="H216" s="5" t="s">
        <v>42</v>
      </c>
      <c r="I216" s="6" t="s">
        <v>377</v>
      </c>
      <c r="J216" s="1" t="s">
        <v>44</v>
      </c>
      <c r="K216" s="1" t="s">
        <v>378</v>
      </c>
    </row>
    <row r="217" spans="5:11">
      <c r="E217" s="1">
        <v>11</v>
      </c>
      <c r="F217" s="4">
        <f t="shared" ref="F217:F226" si="31">F216+4</f>
        <v>36</v>
      </c>
      <c r="G217" s="7" t="s">
        <v>379</v>
      </c>
      <c r="H217" s="5" t="s">
        <v>46</v>
      </c>
      <c r="I217"/>
      <c r="J217" s="1" t="s">
        <v>47</v>
      </c>
      <c r="K217"/>
    </row>
    <row r="218" spans="5:11">
      <c r="E218" s="1">
        <v>12</v>
      </c>
      <c r="F218" s="4">
        <f t="shared" si="31"/>
        <v>40</v>
      </c>
      <c r="G218" s="7" t="s">
        <v>380</v>
      </c>
      <c r="H218" s="5" t="s">
        <v>48</v>
      </c>
      <c r="I218"/>
      <c r="J218" s="1" t="s">
        <v>49</v>
      </c>
      <c r="K218"/>
    </row>
    <row r="219" spans="5:11">
      <c r="E219" s="1">
        <v>13</v>
      </c>
      <c r="F219" s="4">
        <f t="shared" si="31"/>
        <v>44</v>
      </c>
      <c r="G219" s="7" t="s">
        <v>381</v>
      </c>
      <c r="H219" s="5" t="s">
        <v>50</v>
      </c>
      <c r="I219"/>
      <c r="J219" s="1" t="s">
        <v>51</v>
      </c>
      <c r="K219"/>
    </row>
    <row r="220" spans="5:11">
      <c r="E220" s="1">
        <v>14</v>
      </c>
      <c r="F220" s="4">
        <f t="shared" si="31"/>
        <v>48</v>
      </c>
      <c r="G220" s="7" t="s">
        <v>382</v>
      </c>
      <c r="H220" s="5" t="s">
        <v>52</v>
      </c>
      <c r="I220"/>
      <c r="J220" s="1" t="s">
        <v>53</v>
      </c>
      <c r="K220"/>
    </row>
    <row r="221" spans="5:11">
      <c r="E221" s="1">
        <v>15</v>
      </c>
      <c r="F221" s="4">
        <f t="shared" si="31"/>
        <v>52</v>
      </c>
      <c r="G221" s="7" t="s">
        <v>383</v>
      </c>
      <c r="H221" s="5" t="s">
        <v>54</v>
      </c>
      <c r="I221"/>
      <c r="J221" s="1" t="s">
        <v>55</v>
      </c>
      <c r="K221"/>
    </row>
    <row r="222" spans="5:11">
      <c r="E222" s="1">
        <v>16</v>
      </c>
      <c r="F222" s="4">
        <f t="shared" si="31"/>
        <v>56</v>
      </c>
      <c r="G222" s="7" t="s">
        <v>384</v>
      </c>
      <c r="H222" s="5" t="s">
        <v>56</v>
      </c>
      <c r="I222"/>
      <c r="J222" s="1" t="s">
        <v>57</v>
      </c>
      <c r="K222"/>
    </row>
    <row r="223" spans="5:11">
      <c r="E223" s="1">
        <v>17</v>
      </c>
      <c r="F223" s="4">
        <f t="shared" si="31"/>
        <v>60</v>
      </c>
      <c r="G223" s="7" t="s">
        <v>385</v>
      </c>
      <c r="H223" s="5" t="s">
        <v>58</v>
      </c>
      <c r="I223"/>
      <c r="J223" s="1" t="s">
        <v>59</v>
      </c>
      <c r="K223"/>
    </row>
    <row r="224" spans="5:11">
      <c r="E224" s="1">
        <v>18</v>
      </c>
      <c r="F224" s="4">
        <f t="shared" si="31"/>
        <v>64</v>
      </c>
      <c r="G224" s="7" t="s">
        <v>386</v>
      </c>
      <c r="H224" s="5" t="s">
        <v>60</v>
      </c>
      <c r="I224"/>
      <c r="J224" s="1" t="s">
        <v>61</v>
      </c>
      <c r="K224"/>
    </row>
    <row r="225" spans="5:11">
      <c r="E225" s="1">
        <v>19</v>
      </c>
      <c r="F225" s="4">
        <f t="shared" si="31"/>
        <v>68</v>
      </c>
      <c r="G225" s="7" t="s">
        <v>387</v>
      </c>
      <c r="H225" s="5" t="s">
        <v>62</v>
      </c>
      <c r="I225" s="1"/>
      <c r="J225" s="1" t="s">
        <v>63</v>
      </c>
      <c r="K225"/>
    </row>
    <row r="226" spans="5:11">
      <c r="E226" s="1">
        <v>20</v>
      </c>
      <c r="F226" s="4">
        <f t="shared" si="31"/>
        <v>72</v>
      </c>
      <c r="G226" s="7" t="s">
        <v>388</v>
      </c>
      <c r="H226" s="5" t="s">
        <v>64</v>
      </c>
      <c r="I226" s="6" t="s">
        <v>389</v>
      </c>
      <c r="J226" s="1" t="s">
        <v>66</v>
      </c>
      <c r="K226" s="1" t="s">
        <v>390</v>
      </c>
    </row>
    <row r="227" spans="5:11">
      <c r="E227" s="1">
        <v>21</v>
      </c>
      <c r="F227" s="4">
        <f t="shared" ref="F227:F236" si="32">F226+5</f>
        <v>77</v>
      </c>
      <c r="G227" s="7" t="s">
        <v>391</v>
      </c>
      <c r="H227" s="5" t="s">
        <v>68</v>
      </c>
      <c r="I227"/>
      <c r="J227" s="1" t="s">
        <v>69</v>
      </c>
      <c r="K227"/>
    </row>
    <row r="228" spans="5:11">
      <c r="E228" s="1">
        <v>22</v>
      </c>
      <c r="F228" s="4">
        <f t="shared" si="32"/>
        <v>82</v>
      </c>
      <c r="G228" s="7" t="s">
        <v>392</v>
      </c>
      <c r="H228" s="5" t="s">
        <v>70</v>
      </c>
      <c r="I228"/>
      <c r="J228" s="1" t="s">
        <v>71</v>
      </c>
      <c r="K228"/>
    </row>
    <row r="229" spans="5:11">
      <c r="E229" s="1">
        <v>23</v>
      </c>
      <c r="F229" s="4">
        <f t="shared" si="32"/>
        <v>87</v>
      </c>
      <c r="G229" s="7" t="s">
        <v>393</v>
      </c>
      <c r="H229" s="5" t="s">
        <v>72</v>
      </c>
      <c r="I229"/>
      <c r="J229" s="1" t="s">
        <v>73</v>
      </c>
      <c r="K229"/>
    </row>
    <row r="230" spans="5:11">
      <c r="E230" s="1">
        <v>24</v>
      </c>
      <c r="F230" s="4">
        <f t="shared" si="32"/>
        <v>92</v>
      </c>
      <c r="G230" s="7" t="s">
        <v>394</v>
      </c>
      <c r="H230" s="5" t="s">
        <v>74</v>
      </c>
      <c r="I230"/>
      <c r="J230" s="1" t="s">
        <v>75</v>
      </c>
      <c r="K230"/>
    </row>
    <row r="231" spans="5:11">
      <c r="E231" s="1">
        <v>25</v>
      </c>
      <c r="F231" s="4">
        <f t="shared" si="32"/>
        <v>97</v>
      </c>
      <c r="G231" s="7" t="s">
        <v>395</v>
      </c>
      <c r="H231" s="5" t="s">
        <v>76</v>
      </c>
      <c r="I231"/>
      <c r="J231" s="1" t="s">
        <v>77</v>
      </c>
      <c r="K231"/>
    </row>
    <row r="232" spans="5:11">
      <c r="E232" s="1">
        <v>26</v>
      </c>
      <c r="F232" s="4">
        <f t="shared" si="32"/>
        <v>102</v>
      </c>
      <c r="G232" s="7" t="s">
        <v>396</v>
      </c>
      <c r="H232" s="5" t="s">
        <v>78</v>
      </c>
      <c r="I232"/>
      <c r="J232" s="1" t="s">
        <v>79</v>
      </c>
      <c r="K232"/>
    </row>
    <row r="233" spans="5:11">
      <c r="E233" s="1">
        <v>27</v>
      </c>
      <c r="F233" s="4">
        <f t="shared" si="32"/>
        <v>107</v>
      </c>
      <c r="G233" s="7" t="s">
        <v>397</v>
      </c>
      <c r="H233" s="5" t="s">
        <v>80</v>
      </c>
      <c r="I233"/>
      <c r="J233" s="1" t="s">
        <v>81</v>
      </c>
      <c r="K233"/>
    </row>
    <row r="234" spans="5:11">
      <c r="E234" s="1">
        <v>28</v>
      </c>
      <c r="F234" s="4">
        <f t="shared" si="32"/>
        <v>112</v>
      </c>
      <c r="G234" s="7" t="s">
        <v>398</v>
      </c>
      <c r="H234" s="5" t="s">
        <v>82</v>
      </c>
      <c r="I234"/>
      <c r="J234" s="1" t="s">
        <v>83</v>
      </c>
      <c r="K234"/>
    </row>
    <row r="235" spans="5:11">
      <c r="E235" s="1">
        <v>29</v>
      </c>
      <c r="F235" s="4">
        <f t="shared" si="32"/>
        <v>117</v>
      </c>
      <c r="G235" s="7" t="s">
        <v>399</v>
      </c>
      <c r="H235" s="5" t="s">
        <v>84</v>
      </c>
      <c r="I235" s="1"/>
      <c r="J235" s="1" t="s">
        <v>85</v>
      </c>
      <c r="K235"/>
    </row>
    <row r="236" spans="5:11">
      <c r="E236" s="1">
        <v>30</v>
      </c>
      <c r="F236" s="4">
        <f t="shared" si="32"/>
        <v>122</v>
      </c>
      <c r="G236" s="7" t="s">
        <v>400</v>
      </c>
      <c r="H236" s="5" t="s">
        <v>86</v>
      </c>
      <c r="I236" s="6" t="s">
        <v>401</v>
      </c>
      <c r="J236" s="1" t="s">
        <v>88</v>
      </c>
      <c r="K236" s="1" t="s">
        <v>402</v>
      </c>
    </row>
    <row r="237" spans="5:11">
      <c r="E237" s="1">
        <v>31</v>
      </c>
      <c r="F237" s="4">
        <f t="shared" ref="F237:F246" si="33">F236+6</f>
        <v>128</v>
      </c>
      <c r="G237" s="7" t="s">
        <v>403</v>
      </c>
      <c r="H237" s="5" t="s">
        <v>90</v>
      </c>
      <c r="I237"/>
      <c r="J237" s="1" t="s">
        <v>91</v>
      </c>
      <c r="K237"/>
    </row>
    <row r="238" spans="5:11">
      <c r="E238" s="1">
        <v>32</v>
      </c>
      <c r="F238" s="4">
        <f t="shared" si="33"/>
        <v>134</v>
      </c>
      <c r="G238" s="7" t="s">
        <v>404</v>
      </c>
      <c r="H238" s="5" t="s">
        <v>92</v>
      </c>
      <c r="I238"/>
      <c r="J238" s="1" t="s">
        <v>93</v>
      </c>
      <c r="K238"/>
    </row>
    <row r="239" spans="5:11">
      <c r="E239" s="1">
        <v>33</v>
      </c>
      <c r="F239" s="4">
        <f t="shared" si="33"/>
        <v>140</v>
      </c>
      <c r="G239" s="7" t="s">
        <v>405</v>
      </c>
      <c r="H239" s="5" t="s">
        <v>94</v>
      </c>
      <c r="I239"/>
      <c r="J239" s="1" t="s">
        <v>95</v>
      </c>
      <c r="K239"/>
    </row>
    <row r="240" spans="5:11">
      <c r="E240" s="1">
        <v>34</v>
      </c>
      <c r="F240" s="4">
        <f t="shared" si="33"/>
        <v>146</v>
      </c>
      <c r="G240" s="7" t="s">
        <v>406</v>
      </c>
      <c r="H240" s="5" t="s">
        <v>96</v>
      </c>
      <c r="I240"/>
      <c r="J240" s="1" t="s">
        <v>97</v>
      </c>
      <c r="K240"/>
    </row>
    <row r="241" spans="5:11">
      <c r="E241" s="1">
        <v>35</v>
      </c>
      <c r="F241" s="4">
        <f t="shared" si="33"/>
        <v>152</v>
      </c>
      <c r="G241" s="7" t="s">
        <v>407</v>
      </c>
      <c r="H241" s="5" t="s">
        <v>98</v>
      </c>
      <c r="I241"/>
      <c r="J241" s="1" t="s">
        <v>99</v>
      </c>
      <c r="K241"/>
    </row>
    <row r="242" spans="5:11">
      <c r="E242" s="1">
        <v>36</v>
      </c>
      <c r="F242" s="4">
        <f t="shared" si="33"/>
        <v>158</v>
      </c>
      <c r="G242" s="7" t="s">
        <v>408</v>
      </c>
      <c r="H242" s="5" t="s">
        <v>100</v>
      </c>
      <c r="I242"/>
      <c r="J242" s="1" t="s">
        <v>101</v>
      </c>
      <c r="K242"/>
    </row>
    <row r="243" spans="5:11">
      <c r="E243" s="1">
        <v>37</v>
      </c>
      <c r="F243" s="4">
        <f t="shared" si="33"/>
        <v>164</v>
      </c>
      <c r="G243" s="7" t="s">
        <v>409</v>
      </c>
      <c r="H243" s="5" t="s">
        <v>102</v>
      </c>
      <c r="I243"/>
      <c r="J243" s="1" t="s">
        <v>103</v>
      </c>
      <c r="K243"/>
    </row>
    <row r="244" spans="5:11">
      <c r="E244" s="1">
        <v>38</v>
      </c>
      <c r="F244" s="4">
        <f t="shared" si="33"/>
        <v>170</v>
      </c>
      <c r="G244" s="7" t="s">
        <v>410</v>
      </c>
      <c r="H244" s="5" t="s">
        <v>104</v>
      </c>
      <c r="I244"/>
      <c r="J244" s="1" t="s">
        <v>105</v>
      </c>
      <c r="K244"/>
    </row>
    <row r="245" spans="5:11">
      <c r="E245" s="1">
        <v>39</v>
      </c>
      <c r="F245" s="4">
        <f t="shared" si="33"/>
        <v>176</v>
      </c>
      <c r="G245" s="7" t="s">
        <v>411</v>
      </c>
      <c r="H245" s="5" t="s">
        <v>106</v>
      </c>
      <c r="I245" s="1"/>
      <c r="J245" s="1" t="s">
        <v>107</v>
      </c>
      <c r="K245"/>
    </row>
    <row r="246" spans="5:11">
      <c r="E246" s="1">
        <v>40</v>
      </c>
      <c r="F246" s="4">
        <f t="shared" si="33"/>
        <v>182</v>
      </c>
      <c r="G246" s="7" t="s">
        <v>412</v>
      </c>
      <c r="H246" s="5" t="s">
        <v>108</v>
      </c>
      <c r="I246" s="6" t="s">
        <v>413</v>
      </c>
      <c r="J246" s="1" t="s">
        <v>110</v>
      </c>
      <c r="K246" s="1" t="s">
        <v>414</v>
      </c>
    </row>
    <row r="247" spans="5:11">
      <c r="E247" s="1">
        <v>41</v>
      </c>
      <c r="F247" s="4">
        <f t="shared" ref="F247:F256" si="34">F246+7</f>
        <v>189</v>
      </c>
      <c r="G247" s="7" t="s">
        <v>415</v>
      </c>
      <c r="H247" s="5" t="s">
        <v>112</v>
      </c>
      <c r="I247"/>
      <c r="J247" s="1" t="s">
        <v>113</v>
      </c>
      <c r="K247"/>
    </row>
    <row r="248" spans="5:11">
      <c r="E248" s="1">
        <v>42</v>
      </c>
      <c r="F248" s="4">
        <f t="shared" si="34"/>
        <v>196</v>
      </c>
      <c r="G248" s="7" t="s">
        <v>416</v>
      </c>
      <c r="H248" s="5" t="s">
        <v>114</v>
      </c>
      <c r="I248"/>
      <c r="J248" s="1" t="s">
        <v>115</v>
      </c>
      <c r="K248"/>
    </row>
    <row r="249" spans="5:11">
      <c r="E249" s="1">
        <v>43</v>
      </c>
      <c r="F249" s="4">
        <f t="shared" si="34"/>
        <v>203</v>
      </c>
      <c r="G249" s="7" t="s">
        <v>417</v>
      </c>
      <c r="H249" s="5" t="s">
        <v>116</v>
      </c>
      <c r="I249"/>
      <c r="J249" s="1" t="s">
        <v>117</v>
      </c>
      <c r="K249"/>
    </row>
    <row r="250" spans="5:11">
      <c r="E250" s="1">
        <v>44</v>
      </c>
      <c r="F250" s="4">
        <f t="shared" si="34"/>
        <v>210</v>
      </c>
      <c r="G250" s="7" t="s">
        <v>418</v>
      </c>
      <c r="H250" s="5" t="s">
        <v>118</v>
      </c>
      <c r="I250"/>
      <c r="J250" s="1" t="s">
        <v>119</v>
      </c>
      <c r="K250"/>
    </row>
    <row r="251" spans="5:11">
      <c r="E251" s="1">
        <v>45</v>
      </c>
      <c r="F251" s="4">
        <f t="shared" si="34"/>
        <v>217</v>
      </c>
      <c r="G251" s="7" t="s">
        <v>419</v>
      </c>
      <c r="H251" s="5" t="s">
        <v>120</v>
      </c>
      <c r="I251"/>
      <c r="J251" s="1" t="s">
        <v>121</v>
      </c>
      <c r="K251"/>
    </row>
    <row r="252" spans="5:11">
      <c r="E252" s="1">
        <v>46</v>
      </c>
      <c r="F252" s="4">
        <f t="shared" si="34"/>
        <v>224</v>
      </c>
      <c r="G252" s="7" t="s">
        <v>420</v>
      </c>
      <c r="H252" s="5" t="s">
        <v>122</v>
      </c>
      <c r="I252"/>
      <c r="J252" s="1" t="s">
        <v>123</v>
      </c>
      <c r="K252"/>
    </row>
    <row r="253" spans="5:11">
      <c r="E253" s="1">
        <v>47</v>
      </c>
      <c r="F253" s="4">
        <f t="shared" si="34"/>
        <v>231</v>
      </c>
      <c r="G253" s="7" t="s">
        <v>421</v>
      </c>
      <c r="H253" s="5" t="s">
        <v>124</v>
      </c>
      <c r="I253"/>
      <c r="J253" s="1" t="s">
        <v>125</v>
      </c>
      <c r="K253"/>
    </row>
    <row r="254" spans="5:11">
      <c r="E254" s="1">
        <v>48</v>
      </c>
      <c r="F254" s="4">
        <f t="shared" si="34"/>
        <v>238</v>
      </c>
      <c r="G254" s="7" t="s">
        <v>422</v>
      </c>
      <c r="H254" s="5" t="s">
        <v>126</v>
      </c>
      <c r="I254"/>
      <c r="J254" s="1" t="s">
        <v>127</v>
      </c>
      <c r="K254"/>
    </row>
    <row r="255" spans="5:11">
      <c r="E255" s="1">
        <v>49</v>
      </c>
      <c r="F255" s="4">
        <f t="shared" si="34"/>
        <v>245</v>
      </c>
      <c r="G255" s="7" t="s">
        <v>423</v>
      </c>
      <c r="H255" s="5" t="s">
        <v>128</v>
      </c>
      <c r="I255" s="1"/>
      <c r="J255" s="1" t="s">
        <v>129</v>
      </c>
      <c r="K255"/>
    </row>
    <row r="256" spans="5:11">
      <c r="E256" s="1">
        <v>50</v>
      </c>
      <c r="F256" s="4">
        <f t="shared" si="34"/>
        <v>252</v>
      </c>
      <c r="G256" s="7" t="s">
        <v>424</v>
      </c>
      <c r="H256" s="5" t="s">
        <v>130</v>
      </c>
      <c r="I256" s="6" t="s">
        <v>425</v>
      </c>
      <c r="J256" s="1" t="s">
        <v>132</v>
      </c>
      <c r="K256" s="1" t="s">
        <v>426</v>
      </c>
    </row>
    <row r="257" spans="5:11">
      <c r="E257" s="1">
        <v>51</v>
      </c>
      <c r="F257" s="4">
        <f t="shared" ref="F257:F266" si="35">F256+8</f>
        <v>260</v>
      </c>
      <c r="G257" s="7" t="s">
        <v>427</v>
      </c>
      <c r="H257" s="5" t="s">
        <v>134</v>
      </c>
      <c r="I257"/>
      <c r="J257" s="1" t="s">
        <v>135</v>
      </c>
      <c r="K257"/>
    </row>
    <row r="258" spans="5:11">
      <c r="E258" s="1">
        <v>52</v>
      </c>
      <c r="F258" s="4">
        <f t="shared" si="35"/>
        <v>268</v>
      </c>
      <c r="G258" s="7" t="s">
        <v>428</v>
      </c>
      <c r="H258" s="5" t="s">
        <v>136</v>
      </c>
      <c r="I258"/>
      <c r="J258" s="1" t="s">
        <v>137</v>
      </c>
      <c r="K258"/>
    </row>
    <row r="259" spans="5:11">
      <c r="E259" s="1">
        <v>53</v>
      </c>
      <c r="F259" s="4">
        <f t="shared" si="35"/>
        <v>276</v>
      </c>
      <c r="G259" s="7" t="s">
        <v>429</v>
      </c>
      <c r="H259" s="5" t="s">
        <v>138</v>
      </c>
      <c r="I259"/>
      <c r="J259" s="1" t="s">
        <v>139</v>
      </c>
      <c r="K259"/>
    </row>
    <row r="260" spans="5:11">
      <c r="E260" s="1">
        <v>54</v>
      </c>
      <c r="F260" s="4">
        <f t="shared" si="35"/>
        <v>284</v>
      </c>
      <c r="G260" s="7" t="s">
        <v>430</v>
      </c>
      <c r="H260" s="5" t="s">
        <v>140</v>
      </c>
      <c r="I260"/>
      <c r="J260" s="1" t="s">
        <v>141</v>
      </c>
      <c r="K260"/>
    </row>
    <row r="261" spans="5:11">
      <c r="E261" s="1">
        <v>55</v>
      </c>
      <c r="F261" s="4">
        <f t="shared" si="35"/>
        <v>292</v>
      </c>
      <c r="G261" s="7" t="s">
        <v>431</v>
      </c>
      <c r="H261" s="5" t="s">
        <v>142</v>
      </c>
      <c r="I261"/>
      <c r="J261" s="1" t="s">
        <v>143</v>
      </c>
      <c r="K261"/>
    </row>
    <row r="262" spans="5:11">
      <c r="E262" s="1">
        <v>56</v>
      </c>
      <c r="F262" s="4">
        <f t="shared" si="35"/>
        <v>300</v>
      </c>
      <c r="G262" s="7" t="s">
        <v>432</v>
      </c>
      <c r="H262" s="5" t="s">
        <v>144</v>
      </c>
      <c r="I262"/>
      <c r="J262" s="1" t="s">
        <v>145</v>
      </c>
      <c r="K262"/>
    </row>
    <row r="263" spans="5:11">
      <c r="E263" s="1">
        <v>57</v>
      </c>
      <c r="F263" s="4">
        <f t="shared" si="35"/>
        <v>308</v>
      </c>
      <c r="G263" s="7" t="s">
        <v>433</v>
      </c>
      <c r="H263" s="5" t="s">
        <v>146</v>
      </c>
      <c r="I263"/>
      <c r="J263" s="1" t="s">
        <v>147</v>
      </c>
      <c r="K263"/>
    </row>
    <row r="264" spans="5:11">
      <c r="E264" s="1">
        <v>58</v>
      </c>
      <c r="F264" s="4">
        <f t="shared" si="35"/>
        <v>316</v>
      </c>
      <c r="G264" s="7" t="s">
        <v>434</v>
      </c>
      <c r="H264" s="5" t="s">
        <v>148</v>
      </c>
      <c r="I264"/>
      <c r="J264" s="1" t="s">
        <v>149</v>
      </c>
      <c r="K264"/>
    </row>
    <row r="265" spans="5:11">
      <c r="E265" s="1">
        <v>59</v>
      </c>
      <c r="F265" s="4">
        <f t="shared" si="35"/>
        <v>324</v>
      </c>
      <c r="G265" s="7" t="s">
        <v>435</v>
      </c>
      <c r="H265" s="5" t="s">
        <v>150</v>
      </c>
      <c r="I265" s="1"/>
      <c r="J265" s="1" t="s">
        <v>151</v>
      </c>
      <c r="K265"/>
    </row>
    <row r="266" spans="5:11">
      <c r="E266" s="1">
        <v>60</v>
      </c>
      <c r="F266" s="4">
        <f t="shared" si="35"/>
        <v>332</v>
      </c>
      <c r="G266" s="7" t="s">
        <v>436</v>
      </c>
      <c r="H266" s="5" t="s">
        <v>152</v>
      </c>
      <c r="I266" s="6" t="s">
        <v>437</v>
      </c>
      <c r="J266" s="1" t="s">
        <v>154</v>
      </c>
      <c r="K266" s="1" t="s">
        <v>438</v>
      </c>
    </row>
    <row r="267" spans="5:11">
      <c r="E267" s="1">
        <v>61</v>
      </c>
      <c r="F267" s="4">
        <f t="shared" ref="F267:F276" si="36">F266+9</f>
        <v>341</v>
      </c>
      <c r="G267" s="7" t="s">
        <v>439</v>
      </c>
      <c r="H267" s="5" t="s">
        <v>156</v>
      </c>
      <c r="I267"/>
      <c r="J267" s="1" t="s">
        <v>157</v>
      </c>
      <c r="K267"/>
    </row>
    <row r="268" spans="5:11">
      <c r="E268" s="1">
        <v>62</v>
      </c>
      <c r="F268" s="4">
        <f t="shared" si="36"/>
        <v>350</v>
      </c>
      <c r="G268" s="7" t="s">
        <v>440</v>
      </c>
      <c r="H268" s="5" t="s">
        <v>158</v>
      </c>
      <c r="I268"/>
      <c r="J268" s="1" t="s">
        <v>159</v>
      </c>
      <c r="K268"/>
    </row>
    <row r="269" spans="5:11">
      <c r="E269" s="1">
        <v>63</v>
      </c>
      <c r="F269" s="4">
        <f t="shared" si="36"/>
        <v>359</v>
      </c>
      <c r="G269" s="7" t="s">
        <v>441</v>
      </c>
      <c r="H269" s="5" t="s">
        <v>160</v>
      </c>
      <c r="I269"/>
      <c r="J269" s="1" t="s">
        <v>161</v>
      </c>
      <c r="K269"/>
    </row>
    <row r="270" spans="5:11">
      <c r="E270" s="1">
        <v>64</v>
      </c>
      <c r="F270" s="4">
        <f t="shared" si="36"/>
        <v>368</v>
      </c>
      <c r="G270" s="7" t="s">
        <v>442</v>
      </c>
      <c r="H270" s="5" t="s">
        <v>162</v>
      </c>
      <c r="I270"/>
      <c r="J270" s="1" t="s">
        <v>163</v>
      </c>
      <c r="K270"/>
    </row>
    <row r="271" spans="5:11">
      <c r="E271" s="1">
        <v>65</v>
      </c>
      <c r="F271" s="4">
        <f t="shared" si="36"/>
        <v>377</v>
      </c>
      <c r="G271" s="7" t="s">
        <v>443</v>
      </c>
      <c r="H271" s="5" t="s">
        <v>164</v>
      </c>
      <c r="I271"/>
      <c r="J271" s="1" t="s">
        <v>165</v>
      </c>
      <c r="K271"/>
    </row>
    <row r="272" spans="5:11">
      <c r="E272" s="1">
        <v>66</v>
      </c>
      <c r="F272" s="4">
        <f t="shared" si="36"/>
        <v>386</v>
      </c>
      <c r="G272" s="7" t="s">
        <v>444</v>
      </c>
      <c r="H272" s="5" t="s">
        <v>166</v>
      </c>
      <c r="I272"/>
      <c r="J272" s="1" t="s">
        <v>167</v>
      </c>
      <c r="K272"/>
    </row>
    <row r="273" spans="5:11">
      <c r="E273" s="1">
        <v>67</v>
      </c>
      <c r="F273" s="4">
        <f t="shared" si="36"/>
        <v>395</v>
      </c>
      <c r="G273" s="7" t="s">
        <v>445</v>
      </c>
      <c r="H273" s="5" t="s">
        <v>168</v>
      </c>
      <c r="I273"/>
      <c r="J273" s="1" t="s">
        <v>169</v>
      </c>
      <c r="K273"/>
    </row>
    <row r="274" spans="5:11">
      <c r="E274" s="1">
        <v>68</v>
      </c>
      <c r="F274" s="4">
        <f t="shared" si="36"/>
        <v>404</v>
      </c>
      <c r="G274" s="7" t="s">
        <v>446</v>
      </c>
      <c r="H274" s="5" t="s">
        <v>170</v>
      </c>
      <c r="I274"/>
      <c r="J274" s="1" t="s">
        <v>171</v>
      </c>
      <c r="K274"/>
    </row>
    <row r="275" spans="5:11">
      <c r="E275" s="1">
        <v>69</v>
      </c>
      <c r="F275" s="4">
        <f t="shared" si="36"/>
        <v>413</v>
      </c>
      <c r="G275" s="7" t="s">
        <v>447</v>
      </c>
      <c r="H275" s="5" t="s">
        <v>172</v>
      </c>
      <c r="I275" s="1"/>
      <c r="J275" s="1" t="s">
        <v>173</v>
      </c>
      <c r="K275"/>
    </row>
    <row r="276" spans="5:11">
      <c r="E276" s="1">
        <v>70</v>
      </c>
      <c r="F276" s="4">
        <f t="shared" si="36"/>
        <v>422</v>
      </c>
      <c r="G276" s="7" t="s">
        <v>448</v>
      </c>
      <c r="H276" s="5" t="s">
        <v>174</v>
      </c>
      <c r="I276" s="6" t="s">
        <v>449</v>
      </c>
      <c r="J276" s="1" t="s">
        <v>176</v>
      </c>
      <c r="K276" s="1" t="s">
        <v>450</v>
      </c>
    </row>
    <row r="277" spans="5:11">
      <c r="E277" s="1">
        <v>71</v>
      </c>
      <c r="F277" s="4">
        <f t="shared" ref="F277:F286" si="37">F276+10</f>
        <v>432</v>
      </c>
      <c r="G277" s="7" t="s">
        <v>451</v>
      </c>
      <c r="H277" s="5" t="s">
        <v>178</v>
      </c>
      <c r="I277"/>
      <c r="J277" s="1" t="s">
        <v>179</v>
      </c>
      <c r="K277"/>
    </row>
    <row r="278" spans="5:11">
      <c r="E278" s="1">
        <v>72</v>
      </c>
      <c r="F278" s="4">
        <f t="shared" si="37"/>
        <v>442</v>
      </c>
      <c r="G278" s="7" t="s">
        <v>452</v>
      </c>
      <c r="H278" s="5" t="s">
        <v>180</v>
      </c>
      <c r="I278"/>
      <c r="J278" s="1" t="s">
        <v>181</v>
      </c>
      <c r="K278"/>
    </row>
    <row r="279" spans="5:11">
      <c r="E279" s="1">
        <v>73</v>
      </c>
      <c r="F279" s="4">
        <f t="shared" si="37"/>
        <v>452</v>
      </c>
      <c r="G279" s="7" t="s">
        <v>453</v>
      </c>
      <c r="H279" s="5" t="s">
        <v>182</v>
      </c>
      <c r="I279"/>
      <c r="J279" s="1" t="s">
        <v>183</v>
      </c>
      <c r="K279"/>
    </row>
    <row r="280" spans="5:11">
      <c r="E280" s="1">
        <v>74</v>
      </c>
      <c r="F280" s="4">
        <f t="shared" si="37"/>
        <v>462</v>
      </c>
      <c r="G280" s="7" t="s">
        <v>454</v>
      </c>
      <c r="H280" s="5" t="s">
        <v>184</v>
      </c>
      <c r="I280"/>
      <c r="J280" s="1" t="s">
        <v>185</v>
      </c>
      <c r="K280"/>
    </row>
    <row r="281" spans="5:11">
      <c r="E281" s="1">
        <v>75</v>
      </c>
      <c r="F281" s="4">
        <f t="shared" si="37"/>
        <v>472</v>
      </c>
      <c r="G281" s="7" t="s">
        <v>455</v>
      </c>
      <c r="H281" s="5" t="s">
        <v>186</v>
      </c>
      <c r="I281"/>
      <c r="J281" s="1" t="s">
        <v>187</v>
      </c>
      <c r="K281"/>
    </row>
    <row r="282" spans="5:11">
      <c r="E282" s="1">
        <v>76</v>
      </c>
      <c r="F282" s="4">
        <f t="shared" si="37"/>
        <v>482</v>
      </c>
      <c r="G282" s="7" t="s">
        <v>456</v>
      </c>
      <c r="H282" s="5" t="s">
        <v>188</v>
      </c>
      <c r="I282"/>
      <c r="J282" s="1" t="s">
        <v>189</v>
      </c>
      <c r="K282"/>
    </row>
    <row r="283" spans="5:11">
      <c r="E283" s="1">
        <v>77</v>
      </c>
      <c r="F283" s="4">
        <f t="shared" si="37"/>
        <v>492</v>
      </c>
      <c r="G283" s="7" t="s">
        <v>457</v>
      </c>
      <c r="H283" s="5" t="s">
        <v>190</v>
      </c>
      <c r="I283"/>
      <c r="J283" s="1" t="s">
        <v>191</v>
      </c>
      <c r="K283"/>
    </row>
    <row r="284" spans="5:11">
      <c r="E284" s="1">
        <v>78</v>
      </c>
      <c r="F284" s="4">
        <f t="shared" si="37"/>
        <v>502</v>
      </c>
      <c r="G284" s="7" t="s">
        <v>458</v>
      </c>
      <c r="H284" s="5" t="s">
        <v>192</v>
      </c>
      <c r="I284"/>
      <c r="J284" s="1" t="s">
        <v>193</v>
      </c>
      <c r="K284"/>
    </row>
    <row r="285" spans="5:11">
      <c r="E285" s="1">
        <v>79</v>
      </c>
      <c r="F285" s="4">
        <f t="shared" si="37"/>
        <v>512</v>
      </c>
      <c r="G285" s="7" t="s">
        <v>459</v>
      </c>
      <c r="H285" s="5" t="s">
        <v>194</v>
      </c>
      <c r="I285" s="1"/>
      <c r="J285" s="1" t="s">
        <v>195</v>
      </c>
      <c r="K285"/>
    </row>
    <row r="286" spans="5:11">
      <c r="E286" s="1">
        <v>80</v>
      </c>
      <c r="F286" s="4">
        <f t="shared" si="37"/>
        <v>522</v>
      </c>
      <c r="G286" s="7" t="s">
        <v>460</v>
      </c>
      <c r="H286" s="5" t="s">
        <v>196</v>
      </c>
      <c r="I286" s="6" t="s">
        <v>461</v>
      </c>
      <c r="J286" s="1" t="s">
        <v>198</v>
      </c>
      <c r="K286" s="1" t="s">
        <v>462</v>
      </c>
    </row>
    <row r="287" spans="5:11">
      <c r="E287" s="1">
        <v>81</v>
      </c>
      <c r="F287" s="4">
        <f t="shared" ref="F287:F296" si="38">F286+11</f>
        <v>533</v>
      </c>
      <c r="G287" s="7" t="s">
        <v>463</v>
      </c>
      <c r="H287" s="5" t="s">
        <v>200</v>
      </c>
      <c r="I287"/>
      <c r="J287" s="1" t="s">
        <v>201</v>
      </c>
      <c r="K287"/>
    </row>
    <row r="288" spans="5:11">
      <c r="E288" s="1">
        <v>82</v>
      </c>
      <c r="F288" s="4">
        <f t="shared" si="38"/>
        <v>544</v>
      </c>
      <c r="G288" s="7" t="s">
        <v>464</v>
      </c>
      <c r="H288" s="5" t="s">
        <v>202</v>
      </c>
      <c r="I288"/>
      <c r="J288" s="1" t="s">
        <v>203</v>
      </c>
      <c r="K288"/>
    </row>
    <row r="289" spans="5:11">
      <c r="E289" s="1">
        <v>83</v>
      </c>
      <c r="F289" s="4">
        <f t="shared" si="38"/>
        <v>555</v>
      </c>
      <c r="G289" s="7" t="s">
        <v>465</v>
      </c>
      <c r="H289" s="5" t="s">
        <v>204</v>
      </c>
      <c r="I289"/>
      <c r="J289" s="1" t="s">
        <v>205</v>
      </c>
      <c r="K289"/>
    </row>
    <row r="290" spans="5:11">
      <c r="E290" s="1">
        <v>84</v>
      </c>
      <c r="F290" s="4">
        <f t="shared" si="38"/>
        <v>566</v>
      </c>
      <c r="G290" s="7" t="s">
        <v>466</v>
      </c>
      <c r="H290" s="5" t="s">
        <v>206</v>
      </c>
      <c r="I290"/>
      <c r="J290" s="1" t="s">
        <v>207</v>
      </c>
      <c r="K290"/>
    </row>
    <row r="291" spans="5:11">
      <c r="E291" s="1">
        <v>85</v>
      </c>
      <c r="F291" s="4">
        <f t="shared" si="38"/>
        <v>577</v>
      </c>
      <c r="G291" s="7" t="s">
        <v>467</v>
      </c>
      <c r="H291" s="5" t="s">
        <v>208</v>
      </c>
      <c r="I291"/>
      <c r="J291" s="1" t="s">
        <v>209</v>
      </c>
      <c r="K291"/>
    </row>
    <row r="292" spans="5:11">
      <c r="E292" s="1">
        <v>86</v>
      </c>
      <c r="F292" s="4">
        <f t="shared" si="38"/>
        <v>588</v>
      </c>
      <c r="G292" s="7" t="s">
        <v>468</v>
      </c>
      <c r="H292" s="5" t="s">
        <v>210</v>
      </c>
      <c r="I292"/>
      <c r="J292" s="1" t="s">
        <v>211</v>
      </c>
      <c r="K292"/>
    </row>
    <row r="293" spans="5:11">
      <c r="E293" s="1">
        <v>87</v>
      </c>
      <c r="F293" s="4">
        <f t="shared" si="38"/>
        <v>599</v>
      </c>
      <c r="G293" s="7" t="s">
        <v>469</v>
      </c>
      <c r="H293" s="5" t="s">
        <v>212</v>
      </c>
      <c r="I293"/>
      <c r="J293" s="1" t="s">
        <v>213</v>
      </c>
      <c r="K293"/>
    </row>
    <row r="294" spans="5:11">
      <c r="E294" s="1">
        <v>88</v>
      </c>
      <c r="F294" s="4">
        <f t="shared" si="38"/>
        <v>610</v>
      </c>
      <c r="G294" s="7" t="s">
        <v>470</v>
      </c>
      <c r="H294" s="5" t="s">
        <v>214</v>
      </c>
      <c r="I294"/>
      <c r="J294" s="1" t="s">
        <v>215</v>
      </c>
      <c r="K294"/>
    </row>
    <row r="295" spans="5:11">
      <c r="E295" s="1">
        <v>89</v>
      </c>
      <c r="F295" s="4">
        <f t="shared" si="38"/>
        <v>621</v>
      </c>
      <c r="G295" s="7" t="s">
        <v>471</v>
      </c>
      <c r="H295" s="5" t="s">
        <v>216</v>
      </c>
      <c r="I295" s="1"/>
      <c r="J295" s="1" t="s">
        <v>217</v>
      </c>
      <c r="K295"/>
    </row>
    <row r="296" spans="5:11">
      <c r="E296" s="1">
        <v>90</v>
      </c>
      <c r="F296" s="4">
        <f t="shared" si="38"/>
        <v>632</v>
      </c>
      <c r="G296" s="7" t="s">
        <v>472</v>
      </c>
      <c r="H296" s="5" t="s">
        <v>218</v>
      </c>
      <c r="I296" s="6" t="s">
        <v>473</v>
      </c>
      <c r="J296" s="1" t="s">
        <v>220</v>
      </c>
      <c r="K296" s="1" t="s">
        <v>474</v>
      </c>
    </row>
    <row r="297" spans="5:11">
      <c r="E297" s="1">
        <v>91</v>
      </c>
      <c r="F297" s="4">
        <f t="shared" ref="F297:F306" si="39">F296+12</f>
        <v>644</v>
      </c>
      <c r="G297" s="7" t="s">
        <v>475</v>
      </c>
      <c r="H297" s="5" t="s">
        <v>222</v>
      </c>
      <c r="I297"/>
      <c r="J297" s="1" t="s">
        <v>223</v>
      </c>
      <c r="K297"/>
    </row>
    <row r="298" spans="5:11">
      <c r="E298" s="1">
        <v>92</v>
      </c>
      <c r="F298" s="4">
        <f t="shared" si="39"/>
        <v>656</v>
      </c>
      <c r="G298" s="7" t="s">
        <v>476</v>
      </c>
      <c r="H298" s="5" t="s">
        <v>224</v>
      </c>
      <c r="I298"/>
      <c r="J298" s="1" t="s">
        <v>225</v>
      </c>
      <c r="K298"/>
    </row>
    <row r="299" spans="5:11">
      <c r="E299" s="1">
        <v>93</v>
      </c>
      <c r="F299" s="4">
        <f t="shared" si="39"/>
        <v>668</v>
      </c>
      <c r="G299" s="7" t="s">
        <v>477</v>
      </c>
      <c r="H299" s="5" t="s">
        <v>226</v>
      </c>
      <c r="I299"/>
      <c r="J299" s="1" t="s">
        <v>227</v>
      </c>
      <c r="K299"/>
    </row>
    <row r="300" spans="5:11">
      <c r="E300" s="1">
        <v>94</v>
      </c>
      <c r="F300" s="4">
        <f t="shared" si="39"/>
        <v>680</v>
      </c>
      <c r="G300" s="7" t="s">
        <v>478</v>
      </c>
      <c r="H300" s="5" t="s">
        <v>228</v>
      </c>
      <c r="I300"/>
      <c r="J300" s="1" t="s">
        <v>229</v>
      </c>
      <c r="K300"/>
    </row>
    <row r="301" spans="5:11">
      <c r="E301" s="1">
        <v>95</v>
      </c>
      <c r="F301" s="4">
        <f t="shared" si="39"/>
        <v>692</v>
      </c>
      <c r="G301" s="7" t="s">
        <v>479</v>
      </c>
      <c r="H301" s="5" t="s">
        <v>230</v>
      </c>
      <c r="I301"/>
      <c r="J301" s="1" t="s">
        <v>231</v>
      </c>
      <c r="K301"/>
    </row>
    <row r="302" spans="5:11">
      <c r="E302" s="1">
        <v>96</v>
      </c>
      <c r="F302" s="4">
        <f t="shared" si="39"/>
        <v>704</v>
      </c>
      <c r="G302" s="7" t="s">
        <v>480</v>
      </c>
      <c r="H302" s="5" t="s">
        <v>232</v>
      </c>
      <c r="I302"/>
      <c r="J302" s="1" t="s">
        <v>233</v>
      </c>
      <c r="K302"/>
    </row>
    <row r="303" spans="5:11">
      <c r="E303" s="1">
        <v>97</v>
      </c>
      <c r="F303" s="4">
        <f t="shared" si="39"/>
        <v>716</v>
      </c>
      <c r="G303" s="7" t="s">
        <v>481</v>
      </c>
      <c r="H303" s="5" t="s">
        <v>234</v>
      </c>
      <c r="I303"/>
      <c r="J303" s="1" t="s">
        <v>235</v>
      </c>
      <c r="K303"/>
    </row>
    <row r="304" spans="5:11">
      <c r="E304" s="1">
        <v>98</v>
      </c>
      <c r="F304" s="4">
        <f t="shared" si="39"/>
        <v>728</v>
      </c>
      <c r="G304" s="7" t="s">
        <v>482</v>
      </c>
      <c r="H304" s="5" t="s">
        <v>236</v>
      </c>
      <c r="I304"/>
      <c r="J304" s="1" t="s">
        <v>237</v>
      </c>
      <c r="K304"/>
    </row>
    <row r="305" spans="2:11">
      <c r="E305" s="1">
        <v>99</v>
      </c>
      <c r="F305" s="4">
        <f t="shared" si="39"/>
        <v>740</v>
      </c>
      <c r="G305" s="7" t="s">
        <v>483</v>
      </c>
      <c r="H305" s="5" t="s">
        <v>238</v>
      </c>
      <c r="I305" s="6"/>
      <c r="J305" s="1" t="s">
        <v>239</v>
      </c>
      <c r="K305"/>
    </row>
    <row r="306" spans="2:11">
      <c r="E306" s="1">
        <v>100</v>
      </c>
      <c r="F306" s="4">
        <f t="shared" si="39"/>
        <v>752</v>
      </c>
      <c r="G306" s="7"/>
      <c r="H306" s="5" t="s">
        <v>240</v>
      </c>
      <c r="I306" s="6" t="s">
        <v>484</v>
      </c>
      <c r="J306" s="1" t="s">
        <v>242</v>
      </c>
      <c r="K306" s="1" t="s">
        <v>485</v>
      </c>
    </row>
    <row r="307" spans="2:11">
      <c r="F307" s="1"/>
      <c r="G307"/>
    </row>
    <row r="308" spans="2:11">
      <c r="B308" s="2" t="s">
        <v>486</v>
      </c>
      <c r="C308" s="1" t="s">
        <v>487</v>
      </c>
      <c r="E308" s="1">
        <v>1</v>
      </c>
      <c r="F308" s="4">
        <v>5</v>
      </c>
      <c r="G308" s="7" t="s">
        <v>488</v>
      </c>
      <c r="H308" s="5" t="s">
        <v>24</v>
      </c>
      <c r="I308" s="1"/>
      <c r="J308" s="1" t="s">
        <v>25</v>
      </c>
      <c r="K308"/>
    </row>
    <row r="309" spans="2:11">
      <c r="E309" s="1">
        <v>2</v>
      </c>
      <c r="F309" s="4">
        <f t="shared" ref="F309:F317" si="40">F308+3</f>
        <v>8</v>
      </c>
      <c r="G309" s="7" t="s">
        <v>489</v>
      </c>
      <c r="H309" s="5" t="s">
        <v>26</v>
      </c>
      <c r="I309" s="1"/>
      <c r="J309" s="1" t="s">
        <v>27</v>
      </c>
      <c r="K309"/>
    </row>
    <row r="310" spans="2:11">
      <c r="E310" s="1">
        <v>3</v>
      </c>
      <c r="F310" s="4">
        <f t="shared" si="40"/>
        <v>11</v>
      </c>
      <c r="G310" s="7" t="s">
        <v>490</v>
      </c>
      <c r="H310" s="5" t="s">
        <v>28</v>
      </c>
      <c r="I310" s="1"/>
      <c r="J310" s="1" t="s">
        <v>29</v>
      </c>
      <c r="K310"/>
    </row>
    <row r="311" spans="2:11">
      <c r="E311" s="1">
        <v>4</v>
      </c>
      <c r="F311" s="4">
        <f t="shared" si="40"/>
        <v>14</v>
      </c>
      <c r="G311" s="7" t="s">
        <v>491</v>
      </c>
      <c r="H311" s="5" t="s">
        <v>30</v>
      </c>
      <c r="I311" s="1"/>
      <c r="J311" s="1" t="s">
        <v>31</v>
      </c>
      <c r="K311"/>
    </row>
    <row r="312" spans="2:11">
      <c r="E312" s="1">
        <v>5</v>
      </c>
      <c r="F312" s="4">
        <f t="shared" si="40"/>
        <v>17</v>
      </c>
      <c r="G312" s="7" t="s">
        <v>492</v>
      </c>
      <c r="H312" s="5" t="s">
        <v>32</v>
      </c>
      <c r="I312" s="1"/>
      <c r="J312" s="1" t="s">
        <v>33</v>
      </c>
      <c r="K312"/>
    </row>
    <row r="313" spans="2:11">
      <c r="E313" s="1">
        <v>6</v>
      </c>
      <c r="F313" s="4">
        <f t="shared" si="40"/>
        <v>20</v>
      </c>
      <c r="G313" s="7" t="s">
        <v>493</v>
      </c>
      <c r="H313" s="5" t="s">
        <v>34</v>
      </c>
      <c r="I313" s="1"/>
      <c r="J313" s="1" t="s">
        <v>35</v>
      </c>
      <c r="K313"/>
    </row>
    <row r="314" spans="2:11">
      <c r="E314" s="1">
        <v>7</v>
      </c>
      <c r="F314" s="4">
        <f t="shared" si="40"/>
        <v>23</v>
      </c>
      <c r="G314" s="7" t="s">
        <v>494</v>
      </c>
      <c r="H314" s="5" t="s">
        <v>36</v>
      </c>
      <c r="I314" s="1"/>
      <c r="J314" s="1" t="s">
        <v>37</v>
      </c>
      <c r="K314"/>
    </row>
    <row r="315" spans="2:11">
      <c r="E315" s="1">
        <v>8</v>
      </c>
      <c r="F315" s="4">
        <f t="shared" si="40"/>
        <v>26</v>
      </c>
      <c r="G315" s="7" t="s">
        <v>495</v>
      </c>
      <c r="H315" s="5" t="s">
        <v>38</v>
      </c>
      <c r="I315" s="1"/>
      <c r="J315" s="1" t="s">
        <v>39</v>
      </c>
      <c r="K315"/>
    </row>
    <row r="316" spans="2:11">
      <c r="E316" s="1">
        <v>9</v>
      </c>
      <c r="F316" s="4">
        <f t="shared" si="40"/>
        <v>29</v>
      </c>
      <c r="G316" s="7" t="s">
        <v>496</v>
      </c>
      <c r="H316" s="5" t="s">
        <v>40</v>
      </c>
      <c r="I316" s="1"/>
      <c r="J316" s="1" t="s">
        <v>41</v>
      </c>
      <c r="K316"/>
    </row>
    <row r="317" spans="2:11">
      <c r="E317" s="1">
        <v>10</v>
      </c>
      <c r="F317" s="4">
        <f t="shared" si="40"/>
        <v>32</v>
      </c>
      <c r="G317" s="7" t="s">
        <v>497</v>
      </c>
      <c r="H317" s="5" t="s">
        <v>42</v>
      </c>
      <c r="I317" s="6" t="s">
        <v>498</v>
      </c>
      <c r="J317" s="1" t="s">
        <v>44</v>
      </c>
      <c r="K317" s="1" t="s">
        <v>499</v>
      </c>
    </row>
    <row r="318" spans="2:11">
      <c r="E318" s="1">
        <v>11</v>
      </c>
      <c r="F318" s="4">
        <f t="shared" ref="F318:F327" si="41">F317+4</f>
        <v>36</v>
      </c>
      <c r="G318" s="7" t="s">
        <v>500</v>
      </c>
      <c r="H318" s="5" t="s">
        <v>46</v>
      </c>
      <c r="I318"/>
      <c r="J318" s="1" t="s">
        <v>47</v>
      </c>
      <c r="K318"/>
    </row>
    <row r="319" spans="2:11">
      <c r="E319" s="1">
        <v>12</v>
      </c>
      <c r="F319" s="4">
        <f t="shared" si="41"/>
        <v>40</v>
      </c>
      <c r="G319" s="7" t="s">
        <v>501</v>
      </c>
      <c r="H319" s="5" t="s">
        <v>48</v>
      </c>
      <c r="I319"/>
      <c r="J319" s="1" t="s">
        <v>49</v>
      </c>
      <c r="K319"/>
    </row>
    <row r="320" spans="2:11">
      <c r="E320" s="1">
        <v>13</v>
      </c>
      <c r="F320" s="4">
        <f t="shared" si="41"/>
        <v>44</v>
      </c>
      <c r="G320" s="7" t="s">
        <v>502</v>
      </c>
      <c r="H320" s="5" t="s">
        <v>50</v>
      </c>
      <c r="I320"/>
      <c r="J320" s="1" t="s">
        <v>51</v>
      </c>
      <c r="K320"/>
    </row>
    <row r="321" spans="5:11">
      <c r="E321" s="1">
        <v>14</v>
      </c>
      <c r="F321" s="4">
        <f t="shared" si="41"/>
        <v>48</v>
      </c>
      <c r="G321" s="7" t="s">
        <v>503</v>
      </c>
      <c r="H321" s="5" t="s">
        <v>52</v>
      </c>
      <c r="I321"/>
      <c r="J321" s="1" t="s">
        <v>53</v>
      </c>
      <c r="K321"/>
    </row>
    <row r="322" spans="5:11">
      <c r="E322" s="1">
        <v>15</v>
      </c>
      <c r="F322" s="4">
        <f t="shared" si="41"/>
        <v>52</v>
      </c>
      <c r="G322" s="7" t="s">
        <v>504</v>
      </c>
      <c r="H322" s="5" t="s">
        <v>54</v>
      </c>
      <c r="I322"/>
      <c r="J322" s="1" t="s">
        <v>55</v>
      </c>
      <c r="K322"/>
    </row>
    <row r="323" spans="5:11">
      <c r="E323" s="1">
        <v>16</v>
      </c>
      <c r="F323" s="4">
        <f t="shared" si="41"/>
        <v>56</v>
      </c>
      <c r="G323" s="7" t="s">
        <v>505</v>
      </c>
      <c r="H323" s="5" t="s">
        <v>56</v>
      </c>
      <c r="I323"/>
      <c r="J323" s="1" t="s">
        <v>57</v>
      </c>
      <c r="K323"/>
    </row>
    <row r="324" spans="5:11">
      <c r="E324" s="1">
        <v>17</v>
      </c>
      <c r="F324" s="4">
        <f t="shared" si="41"/>
        <v>60</v>
      </c>
      <c r="G324" s="7" t="s">
        <v>506</v>
      </c>
      <c r="H324" s="5" t="s">
        <v>58</v>
      </c>
      <c r="I324"/>
      <c r="J324" s="1" t="s">
        <v>59</v>
      </c>
      <c r="K324"/>
    </row>
    <row r="325" spans="5:11">
      <c r="E325" s="1">
        <v>18</v>
      </c>
      <c r="F325" s="4">
        <f t="shared" si="41"/>
        <v>64</v>
      </c>
      <c r="G325" s="7" t="s">
        <v>507</v>
      </c>
      <c r="H325" s="5" t="s">
        <v>60</v>
      </c>
      <c r="I325"/>
      <c r="J325" s="1" t="s">
        <v>61</v>
      </c>
      <c r="K325"/>
    </row>
    <row r="326" spans="5:11">
      <c r="E326" s="1">
        <v>19</v>
      </c>
      <c r="F326" s="4">
        <f t="shared" si="41"/>
        <v>68</v>
      </c>
      <c r="G326" s="7" t="s">
        <v>508</v>
      </c>
      <c r="H326" s="5" t="s">
        <v>62</v>
      </c>
      <c r="I326" s="1"/>
      <c r="J326" s="1" t="s">
        <v>63</v>
      </c>
      <c r="K326"/>
    </row>
    <row r="327" spans="5:11">
      <c r="E327" s="1">
        <v>20</v>
      </c>
      <c r="F327" s="4">
        <f t="shared" si="41"/>
        <v>72</v>
      </c>
      <c r="G327" s="7" t="s">
        <v>509</v>
      </c>
      <c r="H327" s="5" t="s">
        <v>64</v>
      </c>
      <c r="I327" s="6" t="s">
        <v>510</v>
      </c>
      <c r="J327" s="1" t="s">
        <v>66</v>
      </c>
      <c r="K327" s="1" t="s">
        <v>511</v>
      </c>
    </row>
    <row r="328" spans="5:11">
      <c r="E328" s="1">
        <v>21</v>
      </c>
      <c r="F328" s="4">
        <f t="shared" ref="F328:F337" si="42">F327+5</f>
        <v>77</v>
      </c>
      <c r="G328" s="7" t="s">
        <v>512</v>
      </c>
      <c r="H328" s="5" t="s">
        <v>68</v>
      </c>
      <c r="I328"/>
      <c r="J328" s="1" t="s">
        <v>69</v>
      </c>
      <c r="K328"/>
    </row>
    <row r="329" spans="5:11">
      <c r="E329" s="1">
        <v>22</v>
      </c>
      <c r="F329" s="4">
        <f t="shared" si="42"/>
        <v>82</v>
      </c>
      <c r="G329" s="7" t="s">
        <v>513</v>
      </c>
      <c r="H329" s="5" t="s">
        <v>70</v>
      </c>
      <c r="I329"/>
      <c r="J329" s="1" t="s">
        <v>71</v>
      </c>
      <c r="K329"/>
    </row>
    <row r="330" spans="5:11">
      <c r="E330" s="1">
        <v>23</v>
      </c>
      <c r="F330" s="4">
        <f t="shared" si="42"/>
        <v>87</v>
      </c>
      <c r="G330" s="7" t="s">
        <v>514</v>
      </c>
      <c r="H330" s="5" t="s">
        <v>72</v>
      </c>
      <c r="I330"/>
      <c r="J330" s="1" t="s">
        <v>73</v>
      </c>
      <c r="K330"/>
    </row>
    <row r="331" spans="5:11">
      <c r="E331" s="1">
        <v>24</v>
      </c>
      <c r="F331" s="4">
        <f t="shared" si="42"/>
        <v>92</v>
      </c>
      <c r="G331" s="7" t="s">
        <v>515</v>
      </c>
      <c r="H331" s="5" t="s">
        <v>74</v>
      </c>
      <c r="I331"/>
      <c r="J331" s="1" t="s">
        <v>75</v>
      </c>
      <c r="K331"/>
    </row>
    <row r="332" spans="5:11">
      <c r="E332" s="1">
        <v>25</v>
      </c>
      <c r="F332" s="4">
        <f t="shared" si="42"/>
        <v>97</v>
      </c>
      <c r="G332" s="7" t="s">
        <v>516</v>
      </c>
      <c r="H332" s="5" t="s">
        <v>76</v>
      </c>
      <c r="I332"/>
      <c r="J332" s="1" t="s">
        <v>77</v>
      </c>
      <c r="K332"/>
    </row>
    <row r="333" spans="5:11">
      <c r="E333" s="1">
        <v>26</v>
      </c>
      <c r="F333" s="4">
        <f t="shared" si="42"/>
        <v>102</v>
      </c>
      <c r="G333" s="7" t="s">
        <v>517</v>
      </c>
      <c r="H333" s="5" t="s">
        <v>78</v>
      </c>
      <c r="I333"/>
      <c r="J333" s="1" t="s">
        <v>79</v>
      </c>
      <c r="K333"/>
    </row>
    <row r="334" spans="5:11">
      <c r="E334" s="1">
        <v>27</v>
      </c>
      <c r="F334" s="4">
        <f t="shared" si="42"/>
        <v>107</v>
      </c>
      <c r="G334" s="7" t="s">
        <v>518</v>
      </c>
      <c r="H334" s="5" t="s">
        <v>80</v>
      </c>
      <c r="I334"/>
      <c r="J334" s="1" t="s">
        <v>81</v>
      </c>
      <c r="K334"/>
    </row>
    <row r="335" spans="5:11">
      <c r="E335" s="1">
        <v>28</v>
      </c>
      <c r="F335" s="4">
        <f t="shared" si="42"/>
        <v>112</v>
      </c>
      <c r="G335" s="7" t="s">
        <v>519</v>
      </c>
      <c r="H335" s="5" t="s">
        <v>82</v>
      </c>
      <c r="I335"/>
      <c r="J335" s="1" t="s">
        <v>83</v>
      </c>
      <c r="K335"/>
    </row>
    <row r="336" spans="5:11">
      <c r="E336" s="1">
        <v>29</v>
      </c>
      <c r="F336" s="4">
        <f t="shared" si="42"/>
        <v>117</v>
      </c>
      <c r="G336" s="7" t="s">
        <v>520</v>
      </c>
      <c r="H336" s="5" t="s">
        <v>84</v>
      </c>
      <c r="I336" s="1"/>
      <c r="J336" s="1" t="s">
        <v>85</v>
      </c>
      <c r="K336"/>
    </row>
    <row r="337" spans="5:11">
      <c r="E337" s="1">
        <v>30</v>
      </c>
      <c r="F337" s="4">
        <f t="shared" si="42"/>
        <v>122</v>
      </c>
      <c r="G337" s="7" t="s">
        <v>521</v>
      </c>
      <c r="H337" s="5" t="s">
        <v>86</v>
      </c>
      <c r="I337" s="6" t="s">
        <v>522</v>
      </c>
      <c r="J337" s="1" t="s">
        <v>88</v>
      </c>
      <c r="K337" s="1" t="s">
        <v>523</v>
      </c>
    </row>
    <row r="338" spans="5:11">
      <c r="E338" s="1">
        <v>31</v>
      </c>
      <c r="F338" s="4">
        <f t="shared" ref="F338:F347" si="43">F337+6</f>
        <v>128</v>
      </c>
      <c r="G338" s="7" t="s">
        <v>524</v>
      </c>
      <c r="H338" s="5" t="s">
        <v>90</v>
      </c>
      <c r="I338"/>
      <c r="J338" s="1" t="s">
        <v>91</v>
      </c>
      <c r="K338"/>
    </row>
    <row r="339" spans="5:11">
      <c r="E339" s="1">
        <v>32</v>
      </c>
      <c r="F339" s="4">
        <f t="shared" si="43"/>
        <v>134</v>
      </c>
      <c r="G339" s="7" t="s">
        <v>525</v>
      </c>
      <c r="H339" s="5" t="s">
        <v>92</v>
      </c>
      <c r="I339"/>
      <c r="J339" s="1" t="s">
        <v>93</v>
      </c>
      <c r="K339"/>
    </row>
    <row r="340" spans="5:11">
      <c r="E340" s="1">
        <v>33</v>
      </c>
      <c r="F340" s="4">
        <f t="shared" si="43"/>
        <v>140</v>
      </c>
      <c r="G340" s="7" t="s">
        <v>526</v>
      </c>
      <c r="H340" s="5" t="s">
        <v>94</v>
      </c>
      <c r="I340"/>
      <c r="J340" s="1" t="s">
        <v>95</v>
      </c>
      <c r="K340"/>
    </row>
    <row r="341" spans="5:11">
      <c r="E341" s="1">
        <v>34</v>
      </c>
      <c r="F341" s="4">
        <f t="shared" si="43"/>
        <v>146</v>
      </c>
      <c r="G341" s="7" t="s">
        <v>527</v>
      </c>
      <c r="H341" s="5" t="s">
        <v>96</v>
      </c>
      <c r="I341"/>
      <c r="J341" s="1" t="s">
        <v>97</v>
      </c>
      <c r="K341"/>
    </row>
    <row r="342" spans="5:11">
      <c r="E342" s="1">
        <v>35</v>
      </c>
      <c r="F342" s="4">
        <f t="shared" si="43"/>
        <v>152</v>
      </c>
      <c r="G342" s="7" t="s">
        <v>528</v>
      </c>
      <c r="H342" s="5" t="s">
        <v>98</v>
      </c>
      <c r="I342"/>
      <c r="J342" s="1" t="s">
        <v>99</v>
      </c>
      <c r="K342"/>
    </row>
    <row r="343" spans="5:11">
      <c r="E343" s="1">
        <v>36</v>
      </c>
      <c r="F343" s="4">
        <f t="shared" si="43"/>
        <v>158</v>
      </c>
      <c r="G343" s="7" t="s">
        <v>529</v>
      </c>
      <c r="H343" s="5" t="s">
        <v>100</v>
      </c>
      <c r="I343"/>
      <c r="J343" s="1" t="s">
        <v>101</v>
      </c>
      <c r="K343"/>
    </row>
    <row r="344" spans="5:11">
      <c r="E344" s="1">
        <v>37</v>
      </c>
      <c r="F344" s="4">
        <f t="shared" si="43"/>
        <v>164</v>
      </c>
      <c r="G344" s="7" t="s">
        <v>530</v>
      </c>
      <c r="H344" s="5" t="s">
        <v>102</v>
      </c>
      <c r="I344"/>
      <c r="J344" s="1" t="s">
        <v>103</v>
      </c>
      <c r="K344"/>
    </row>
    <row r="345" spans="5:11">
      <c r="E345" s="1">
        <v>38</v>
      </c>
      <c r="F345" s="4">
        <f t="shared" si="43"/>
        <v>170</v>
      </c>
      <c r="G345" s="7" t="s">
        <v>531</v>
      </c>
      <c r="H345" s="5" t="s">
        <v>104</v>
      </c>
      <c r="I345"/>
      <c r="J345" s="1" t="s">
        <v>105</v>
      </c>
      <c r="K345"/>
    </row>
    <row r="346" spans="5:11">
      <c r="E346" s="1">
        <v>39</v>
      </c>
      <c r="F346" s="4">
        <f t="shared" si="43"/>
        <v>176</v>
      </c>
      <c r="G346" s="7" t="s">
        <v>532</v>
      </c>
      <c r="H346" s="5" t="s">
        <v>106</v>
      </c>
      <c r="I346" s="1"/>
      <c r="J346" s="1" t="s">
        <v>107</v>
      </c>
      <c r="K346"/>
    </row>
    <row r="347" spans="5:11">
      <c r="E347" s="1">
        <v>40</v>
      </c>
      <c r="F347" s="4">
        <f t="shared" si="43"/>
        <v>182</v>
      </c>
      <c r="G347" s="7" t="s">
        <v>533</v>
      </c>
      <c r="H347" s="5" t="s">
        <v>108</v>
      </c>
      <c r="I347" s="6" t="s">
        <v>534</v>
      </c>
      <c r="J347" s="1" t="s">
        <v>110</v>
      </c>
      <c r="K347" s="1" t="s">
        <v>535</v>
      </c>
    </row>
    <row r="348" spans="5:11">
      <c r="E348" s="1">
        <v>41</v>
      </c>
      <c r="F348" s="4">
        <f t="shared" ref="F348:F357" si="44">F347+7</f>
        <v>189</v>
      </c>
      <c r="G348" s="7" t="s">
        <v>536</v>
      </c>
      <c r="H348" s="5" t="s">
        <v>112</v>
      </c>
      <c r="I348"/>
      <c r="J348" s="1" t="s">
        <v>113</v>
      </c>
      <c r="K348"/>
    </row>
    <row r="349" spans="5:11">
      <c r="E349" s="1">
        <v>42</v>
      </c>
      <c r="F349" s="4">
        <f t="shared" si="44"/>
        <v>196</v>
      </c>
      <c r="G349" s="7" t="s">
        <v>537</v>
      </c>
      <c r="H349" s="5" t="s">
        <v>114</v>
      </c>
      <c r="I349"/>
      <c r="J349" s="1" t="s">
        <v>115</v>
      </c>
      <c r="K349"/>
    </row>
    <row r="350" spans="5:11">
      <c r="E350" s="1">
        <v>43</v>
      </c>
      <c r="F350" s="4">
        <f t="shared" si="44"/>
        <v>203</v>
      </c>
      <c r="G350" s="7" t="s">
        <v>538</v>
      </c>
      <c r="H350" s="5" t="s">
        <v>116</v>
      </c>
      <c r="I350"/>
      <c r="J350" s="1" t="s">
        <v>117</v>
      </c>
      <c r="K350"/>
    </row>
    <row r="351" spans="5:11">
      <c r="E351" s="1">
        <v>44</v>
      </c>
      <c r="F351" s="4">
        <f t="shared" si="44"/>
        <v>210</v>
      </c>
      <c r="G351" s="7" t="s">
        <v>539</v>
      </c>
      <c r="H351" s="5" t="s">
        <v>118</v>
      </c>
      <c r="I351"/>
      <c r="J351" s="1" t="s">
        <v>119</v>
      </c>
      <c r="K351"/>
    </row>
    <row r="352" spans="5:11">
      <c r="E352" s="1">
        <v>45</v>
      </c>
      <c r="F352" s="4">
        <f t="shared" si="44"/>
        <v>217</v>
      </c>
      <c r="G352" s="7" t="s">
        <v>540</v>
      </c>
      <c r="H352" s="5" t="s">
        <v>120</v>
      </c>
      <c r="I352"/>
      <c r="J352" s="1" t="s">
        <v>121</v>
      </c>
      <c r="K352"/>
    </row>
    <row r="353" spans="5:11">
      <c r="E353" s="1">
        <v>46</v>
      </c>
      <c r="F353" s="4">
        <f t="shared" si="44"/>
        <v>224</v>
      </c>
      <c r="G353" s="7" t="s">
        <v>541</v>
      </c>
      <c r="H353" s="5" t="s">
        <v>122</v>
      </c>
      <c r="I353"/>
      <c r="J353" s="1" t="s">
        <v>123</v>
      </c>
      <c r="K353"/>
    </row>
    <row r="354" spans="5:11">
      <c r="E354" s="1">
        <v>47</v>
      </c>
      <c r="F354" s="4">
        <f t="shared" si="44"/>
        <v>231</v>
      </c>
      <c r="G354" s="7" t="s">
        <v>542</v>
      </c>
      <c r="H354" s="5" t="s">
        <v>124</v>
      </c>
      <c r="I354"/>
      <c r="J354" s="1" t="s">
        <v>125</v>
      </c>
      <c r="K354"/>
    </row>
    <row r="355" spans="5:11">
      <c r="E355" s="1">
        <v>48</v>
      </c>
      <c r="F355" s="4">
        <f t="shared" si="44"/>
        <v>238</v>
      </c>
      <c r="G355" s="7" t="s">
        <v>543</v>
      </c>
      <c r="H355" s="5" t="s">
        <v>126</v>
      </c>
      <c r="I355"/>
      <c r="J355" s="1" t="s">
        <v>127</v>
      </c>
      <c r="K355"/>
    </row>
    <row r="356" spans="5:11">
      <c r="E356" s="1">
        <v>49</v>
      </c>
      <c r="F356" s="4">
        <f t="shared" si="44"/>
        <v>245</v>
      </c>
      <c r="G356" s="7" t="s">
        <v>544</v>
      </c>
      <c r="H356" s="5" t="s">
        <v>128</v>
      </c>
      <c r="I356" s="1"/>
      <c r="J356" s="1" t="s">
        <v>129</v>
      </c>
      <c r="K356"/>
    </row>
    <row r="357" spans="5:11">
      <c r="E357" s="1">
        <v>50</v>
      </c>
      <c r="F357" s="4">
        <f t="shared" si="44"/>
        <v>252</v>
      </c>
      <c r="G357" s="7" t="s">
        <v>545</v>
      </c>
      <c r="H357" s="5" t="s">
        <v>130</v>
      </c>
      <c r="I357" s="6" t="s">
        <v>546</v>
      </c>
      <c r="J357" s="1" t="s">
        <v>132</v>
      </c>
      <c r="K357" s="1" t="s">
        <v>547</v>
      </c>
    </row>
    <row r="358" spans="5:11">
      <c r="E358" s="1">
        <v>51</v>
      </c>
      <c r="F358" s="4">
        <f t="shared" ref="F358:F367" si="45">F357+8</f>
        <v>260</v>
      </c>
      <c r="G358" s="7" t="s">
        <v>548</v>
      </c>
      <c r="H358" s="5" t="s">
        <v>134</v>
      </c>
      <c r="I358"/>
      <c r="J358" s="1" t="s">
        <v>135</v>
      </c>
      <c r="K358"/>
    </row>
    <row r="359" spans="5:11">
      <c r="E359" s="1">
        <v>52</v>
      </c>
      <c r="F359" s="4">
        <f t="shared" si="45"/>
        <v>268</v>
      </c>
      <c r="G359" s="7" t="s">
        <v>549</v>
      </c>
      <c r="H359" s="5" t="s">
        <v>136</v>
      </c>
      <c r="I359"/>
      <c r="J359" s="1" t="s">
        <v>137</v>
      </c>
      <c r="K359"/>
    </row>
    <row r="360" spans="5:11">
      <c r="E360" s="1">
        <v>53</v>
      </c>
      <c r="F360" s="4">
        <f t="shared" si="45"/>
        <v>276</v>
      </c>
      <c r="G360" s="7" t="s">
        <v>550</v>
      </c>
      <c r="H360" s="5" t="s">
        <v>138</v>
      </c>
      <c r="I360"/>
      <c r="J360" s="1" t="s">
        <v>139</v>
      </c>
      <c r="K360"/>
    </row>
    <row r="361" spans="5:11">
      <c r="E361" s="1">
        <v>54</v>
      </c>
      <c r="F361" s="4">
        <f t="shared" si="45"/>
        <v>284</v>
      </c>
      <c r="G361" s="7" t="s">
        <v>551</v>
      </c>
      <c r="H361" s="5" t="s">
        <v>140</v>
      </c>
      <c r="I361"/>
      <c r="J361" s="1" t="s">
        <v>141</v>
      </c>
      <c r="K361"/>
    </row>
    <row r="362" spans="5:11">
      <c r="E362" s="1">
        <v>55</v>
      </c>
      <c r="F362" s="4">
        <f t="shared" si="45"/>
        <v>292</v>
      </c>
      <c r="G362" s="7" t="s">
        <v>552</v>
      </c>
      <c r="H362" s="5" t="s">
        <v>142</v>
      </c>
      <c r="I362"/>
      <c r="J362" s="1" t="s">
        <v>143</v>
      </c>
      <c r="K362"/>
    </row>
    <row r="363" spans="5:11">
      <c r="E363" s="1">
        <v>56</v>
      </c>
      <c r="F363" s="4">
        <f t="shared" si="45"/>
        <v>300</v>
      </c>
      <c r="G363" s="7" t="s">
        <v>553</v>
      </c>
      <c r="H363" s="5" t="s">
        <v>144</v>
      </c>
      <c r="I363"/>
      <c r="J363" s="1" t="s">
        <v>145</v>
      </c>
      <c r="K363"/>
    </row>
    <row r="364" spans="5:11">
      <c r="E364" s="1">
        <v>57</v>
      </c>
      <c r="F364" s="4">
        <f t="shared" si="45"/>
        <v>308</v>
      </c>
      <c r="G364" s="7" t="s">
        <v>554</v>
      </c>
      <c r="H364" s="5" t="s">
        <v>146</v>
      </c>
      <c r="I364"/>
      <c r="J364" s="1" t="s">
        <v>147</v>
      </c>
      <c r="K364"/>
    </row>
    <row r="365" spans="5:11">
      <c r="E365" s="1">
        <v>58</v>
      </c>
      <c r="F365" s="4">
        <f t="shared" si="45"/>
        <v>316</v>
      </c>
      <c r="G365" s="7" t="s">
        <v>555</v>
      </c>
      <c r="H365" s="5" t="s">
        <v>148</v>
      </c>
      <c r="I365"/>
      <c r="J365" s="1" t="s">
        <v>149</v>
      </c>
      <c r="K365"/>
    </row>
    <row r="366" spans="5:11">
      <c r="E366" s="1">
        <v>59</v>
      </c>
      <c r="F366" s="4">
        <f t="shared" si="45"/>
        <v>324</v>
      </c>
      <c r="G366" s="7" t="s">
        <v>556</v>
      </c>
      <c r="H366" s="5" t="s">
        <v>150</v>
      </c>
      <c r="I366" s="1"/>
      <c r="J366" s="1" t="s">
        <v>151</v>
      </c>
      <c r="K366"/>
    </row>
    <row r="367" spans="5:11">
      <c r="E367" s="1">
        <v>60</v>
      </c>
      <c r="F367" s="4">
        <f t="shared" si="45"/>
        <v>332</v>
      </c>
      <c r="G367" s="7" t="s">
        <v>557</v>
      </c>
      <c r="H367" s="5" t="s">
        <v>152</v>
      </c>
      <c r="I367" s="6" t="s">
        <v>558</v>
      </c>
      <c r="J367" s="1" t="s">
        <v>154</v>
      </c>
      <c r="K367" s="1" t="s">
        <v>559</v>
      </c>
    </row>
    <row r="368" spans="5:11">
      <c r="E368" s="1">
        <v>61</v>
      </c>
      <c r="F368" s="4">
        <f t="shared" ref="F368:F377" si="46">F367+9</f>
        <v>341</v>
      </c>
      <c r="G368" s="7" t="s">
        <v>560</v>
      </c>
      <c r="H368" s="5" t="s">
        <v>156</v>
      </c>
      <c r="I368"/>
      <c r="J368" s="1" t="s">
        <v>157</v>
      </c>
      <c r="K368"/>
    </row>
    <row r="369" spans="5:11">
      <c r="E369" s="1">
        <v>62</v>
      </c>
      <c r="F369" s="4">
        <f t="shared" si="46"/>
        <v>350</v>
      </c>
      <c r="G369" s="7" t="s">
        <v>561</v>
      </c>
      <c r="H369" s="5" t="s">
        <v>158</v>
      </c>
      <c r="I369"/>
      <c r="J369" s="1" t="s">
        <v>159</v>
      </c>
      <c r="K369"/>
    </row>
    <row r="370" spans="5:11">
      <c r="E370" s="1">
        <v>63</v>
      </c>
      <c r="F370" s="4">
        <f t="shared" si="46"/>
        <v>359</v>
      </c>
      <c r="G370" s="7" t="s">
        <v>562</v>
      </c>
      <c r="H370" s="5" t="s">
        <v>160</v>
      </c>
      <c r="I370"/>
      <c r="J370" s="1" t="s">
        <v>161</v>
      </c>
      <c r="K370"/>
    </row>
    <row r="371" spans="5:11">
      <c r="E371" s="1">
        <v>64</v>
      </c>
      <c r="F371" s="4">
        <f t="shared" si="46"/>
        <v>368</v>
      </c>
      <c r="G371" s="7" t="s">
        <v>563</v>
      </c>
      <c r="H371" s="5" t="s">
        <v>162</v>
      </c>
      <c r="I371"/>
      <c r="J371" s="1" t="s">
        <v>163</v>
      </c>
      <c r="K371"/>
    </row>
    <row r="372" spans="5:11">
      <c r="E372" s="1">
        <v>65</v>
      </c>
      <c r="F372" s="4">
        <f t="shared" si="46"/>
        <v>377</v>
      </c>
      <c r="G372" s="7" t="s">
        <v>564</v>
      </c>
      <c r="H372" s="5" t="s">
        <v>164</v>
      </c>
      <c r="I372"/>
      <c r="J372" s="1" t="s">
        <v>165</v>
      </c>
      <c r="K372"/>
    </row>
    <row r="373" spans="5:11">
      <c r="E373" s="1">
        <v>66</v>
      </c>
      <c r="F373" s="4">
        <f t="shared" si="46"/>
        <v>386</v>
      </c>
      <c r="G373" s="7" t="s">
        <v>565</v>
      </c>
      <c r="H373" s="5" t="s">
        <v>166</v>
      </c>
      <c r="I373"/>
      <c r="J373" s="1" t="s">
        <v>167</v>
      </c>
      <c r="K373"/>
    </row>
    <row r="374" spans="5:11">
      <c r="E374" s="1">
        <v>67</v>
      </c>
      <c r="F374" s="4">
        <f t="shared" si="46"/>
        <v>395</v>
      </c>
      <c r="G374" s="7" t="s">
        <v>566</v>
      </c>
      <c r="H374" s="5" t="s">
        <v>168</v>
      </c>
      <c r="I374"/>
      <c r="J374" s="1" t="s">
        <v>169</v>
      </c>
      <c r="K374"/>
    </row>
    <row r="375" spans="5:11">
      <c r="E375" s="1">
        <v>68</v>
      </c>
      <c r="F375" s="4">
        <f t="shared" si="46"/>
        <v>404</v>
      </c>
      <c r="G375" s="7" t="s">
        <v>567</v>
      </c>
      <c r="H375" s="5" t="s">
        <v>170</v>
      </c>
      <c r="I375"/>
      <c r="J375" s="1" t="s">
        <v>171</v>
      </c>
      <c r="K375"/>
    </row>
    <row r="376" spans="5:11">
      <c r="E376" s="1">
        <v>69</v>
      </c>
      <c r="F376" s="4">
        <f t="shared" si="46"/>
        <v>413</v>
      </c>
      <c r="G376" s="7" t="s">
        <v>568</v>
      </c>
      <c r="H376" s="5" t="s">
        <v>172</v>
      </c>
      <c r="I376" s="1"/>
      <c r="J376" s="1" t="s">
        <v>173</v>
      </c>
      <c r="K376"/>
    </row>
    <row r="377" spans="5:11">
      <c r="E377" s="1">
        <v>70</v>
      </c>
      <c r="F377" s="4">
        <f t="shared" si="46"/>
        <v>422</v>
      </c>
      <c r="G377" s="7" t="s">
        <v>569</v>
      </c>
      <c r="H377" s="5" t="s">
        <v>174</v>
      </c>
      <c r="I377" s="6" t="s">
        <v>570</v>
      </c>
      <c r="J377" s="1" t="s">
        <v>176</v>
      </c>
      <c r="K377" s="1" t="s">
        <v>571</v>
      </c>
    </row>
    <row r="378" spans="5:11">
      <c r="E378" s="1">
        <v>71</v>
      </c>
      <c r="F378" s="4">
        <f t="shared" ref="F378:F387" si="47">F377+10</f>
        <v>432</v>
      </c>
      <c r="G378" s="7" t="s">
        <v>572</v>
      </c>
      <c r="H378" s="5" t="s">
        <v>178</v>
      </c>
      <c r="I378"/>
      <c r="J378" s="1" t="s">
        <v>179</v>
      </c>
      <c r="K378"/>
    </row>
    <row r="379" spans="5:11">
      <c r="E379" s="1">
        <v>72</v>
      </c>
      <c r="F379" s="4">
        <f t="shared" si="47"/>
        <v>442</v>
      </c>
      <c r="G379" s="7" t="s">
        <v>573</v>
      </c>
      <c r="H379" s="5" t="s">
        <v>180</v>
      </c>
      <c r="I379"/>
      <c r="J379" s="1" t="s">
        <v>181</v>
      </c>
      <c r="K379"/>
    </row>
    <row r="380" spans="5:11">
      <c r="E380" s="1">
        <v>73</v>
      </c>
      <c r="F380" s="4">
        <f t="shared" si="47"/>
        <v>452</v>
      </c>
      <c r="G380" s="7" t="s">
        <v>574</v>
      </c>
      <c r="H380" s="5" t="s">
        <v>182</v>
      </c>
      <c r="I380"/>
      <c r="J380" s="1" t="s">
        <v>183</v>
      </c>
      <c r="K380"/>
    </row>
    <row r="381" spans="5:11">
      <c r="E381" s="1">
        <v>74</v>
      </c>
      <c r="F381" s="4">
        <f t="shared" si="47"/>
        <v>462</v>
      </c>
      <c r="G381" s="7" t="s">
        <v>575</v>
      </c>
      <c r="H381" s="5" t="s">
        <v>184</v>
      </c>
      <c r="I381"/>
      <c r="J381" s="1" t="s">
        <v>185</v>
      </c>
      <c r="K381"/>
    </row>
    <row r="382" spans="5:11">
      <c r="E382" s="1">
        <v>75</v>
      </c>
      <c r="F382" s="4">
        <f t="shared" si="47"/>
        <v>472</v>
      </c>
      <c r="G382" s="7" t="s">
        <v>576</v>
      </c>
      <c r="H382" s="5" t="s">
        <v>186</v>
      </c>
      <c r="I382"/>
      <c r="J382" s="1" t="s">
        <v>187</v>
      </c>
      <c r="K382"/>
    </row>
    <row r="383" spans="5:11">
      <c r="E383" s="1">
        <v>76</v>
      </c>
      <c r="F383" s="4">
        <f t="shared" si="47"/>
        <v>482</v>
      </c>
      <c r="G383" s="7" t="s">
        <v>577</v>
      </c>
      <c r="H383" s="5" t="s">
        <v>188</v>
      </c>
      <c r="I383"/>
      <c r="J383" s="1" t="s">
        <v>189</v>
      </c>
      <c r="K383"/>
    </row>
    <row r="384" spans="5:11">
      <c r="E384" s="1">
        <v>77</v>
      </c>
      <c r="F384" s="4">
        <f t="shared" si="47"/>
        <v>492</v>
      </c>
      <c r="G384" s="7" t="s">
        <v>578</v>
      </c>
      <c r="H384" s="5" t="s">
        <v>190</v>
      </c>
      <c r="I384"/>
      <c r="J384" s="1" t="s">
        <v>191</v>
      </c>
      <c r="K384"/>
    </row>
    <row r="385" spans="5:11">
      <c r="E385" s="1">
        <v>78</v>
      </c>
      <c r="F385" s="4">
        <f t="shared" si="47"/>
        <v>502</v>
      </c>
      <c r="G385" s="7" t="s">
        <v>579</v>
      </c>
      <c r="H385" s="5" t="s">
        <v>192</v>
      </c>
      <c r="I385"/>
      <c r="J385" s="1" t="s">
        <v>193</v>
      </c>
      <c r="K385"/>
    </row>
    <row r="386" spans="5:11">
      <c r="E386" s="1">
        <v>79</v>
      </c>
      <c r="F386" s="4">
        <f t="shared" si="47"/>
        <v>512</v>
      </c>
      <c r="G386" s="7" t="s">
        <v>580</v>
      </c>
      <c r="H386" s="5" t="s">
        <v>194</v>
      </c>
      <c r="I386" s="1"/>
      <c r="J386" s="1" t="s">
        <v>195</v>
      </c>
      <c r="K386"/>
    </row>
    <row r="387" spans="5:11">
      <c r="E387" s="1">
        <v>80</v>
      </c>
      <c r="F387" s="4">
        <f t="shared" si="47"/>
        <v>522</v>
      </c>
      <c r="G387" s="7" t="s">
        <v>581</v>
      </c>
      <c r="H387" s="5" t="s">
        <v>196</v>
      </c>
      <c r="I387" s="6" t="s">
        <v>582</v>
      </c>
      <c r="J387" s="1" t="s">
        <v>198</v>
      </c>
      <c r="K387" s="1" t="s">
        <v>583</v>
      </c>
    </row>
    <row r="388" spans="5:11">
      <c r="E388" s="1">
        <v>81</v>
      </c>
      <c r="F388" s="4">
        <f t="shared" ref="F388:F397" si="48">F387+11</f>
        <v>533</v>
      </c>
      <c r="G388" s="7" t="s">
        <v>584</v>
      </c>
      <c r="H388" s="5" t="s">
        <v>200</v>
      </c>
      <c r="I388"/>
      <c r="J388" s="1" t="s">
        <v>201</v>
      </c>
      <c r="K388"/>
    </row>
    <row r="389" spans="5:11">
      <c r="E389" s="1">
        <v>82</v>
      </c>
      <c r="F389" s="4">
        <f t="shared" si="48"/>
        <v>544</v>
      </c>
      <c r="G389" s="7" t="s">
        <v>585</v>
      </c>
      <c r="H389" s="5" t="s">
        <v>202</v>
      </c>
      <c r="I389"/>
      <c r="J389" s="1" t="s">
        <v>203</v>
      </c>
      <c r="K389"/>
    </row>
    <row r="390" spans="5:11">
      <c r="E390" s="1">
        <v>83</v>
      </c>
      <c r="F390" s="4">
        <f t="shared" si="48"/>
        <v>555</v>
      </c>
      <c r="G390" s="7" t="s">
        <v>586</v>
      </c>
      <c r="H390" s="5" t="s">
        <v>204</v>
      </c>
      <c r="I390"/>
      <c r="J390" s="1" t="s">
        <v>205</v>
      </c>
      <c r="K390"/>
    </row>
    <row r="391" spans="5:11">
      <c r="E391" s="1">
        <v>84</v>
      </c>
      <c r="F391" s="4">
        <f t="shared" si="48"/>
        <v>566</v>
      </c>
      <c r="G391" s="7" t="s">
        <v>587</v>
      </c>
      <c r="H391" s="5" t="s">
        <v>206</v>
      </c>
      <c r="I391"/>
      <c r="J391" s="1" t="s">
        <v>207</v>
      </c>
      <c r="K391"/>
    </row>
    <row r="392" spans="5:11">
      <c r="E392" s="1">
        <v>85</v>
      </c>
      <c r="F392" s="4">
        <f t="shared" si="48"/>
        <v>577</v>
      </c>
      <c r="G392" s="7" t="s">
        <v>588</v>
      </c>
      <c r="H392" s="5" t="s">
        <v>208</v>
      </c>
      <c r="I392"/>
      <c r="J392" s="1" t="s">
        <v>209</v>
      </c>
      <c r="K392"/>
    </row>
    <row r="393" spans="5:11">
      <c r="E393" s="1">
        <v>86</v>
      </c>
      <c r="F393" s="4">
        <f t="shared" si="48"/>
        <v>588</v>
      </c>
      <c r="G393" s="7" t="s">
        <v>589</v>
      </c>
      <c r="H393" s="5" t="s">
        <v>210</v>
      </c>
      <c r="I393"/>
      <c r="J393" s="1" t="s">
        <v>211</v>
      </c>
      <c r="K393"/>
    </row>
    <row r="394" spans="5:11">
      <c r="E394" s="1">
        <v>87</v>
      </c>
      <c r="F394" s="4">
        <f t="shared" si="48"/>
        <v>599</v>
      </c>
      <c r="G394" s="7" t="s">
        <v>590</v>
      </c>
      <c r="H394" s="5" t="s">
        <v>212</v>
      </c>
      <c r="I394"/>
      <c r="J394" s="1" t="s">
        <v>213</v>
      </c>
      <c r="K394"/>
    </row>
    <row r="395" spans="5:11">
      <c r="E395" s="1">
        <v>88</v>
      </c>
      <c r="F395" s="4">
        <f t="shared" si="48"/>
        <v>610</v>
      </c>
      <c r="G395" s="7" t="s">
        <v>591</v>
      </c>
      <c r="H395" s="5" t="s">
        <v>214</v>
      </c>
      <c r="I395"/>
      <c r="J395" s="1" t="s">
        <v>215</v>
      </c>
      <c r="K395"/>
    </row>
    <row r="396" spans="5:11">
      <c r="E396" s="1">
        <v>89</v>
      </c>
      <c r="F396" s="4">
        <f t="shared" si="48"/>
        <v>621</v>
      </c>
      <c r="G396" s="7" t="s">
        <v>592</v>
      </c>
      <c r="H396" s="5" t="s">
        <v>216</v>
      </c>
      <c r="I396" s="1"/>
      <c r="J396" s="1" t="s">
        <v>217</v>
      </c>
      <c r="K396"/>
    </row>
    <row r="397" spans="5:11">
      <c r="E397" s="1">
        <v>90</v>
      </c>
      <c r="F397" s="4">
        <f t="shared" si="48"/>
        <v>632</v>
      </c>
      <c r="G397" s="7" t="s">
        <v>593</v>
      </c>
      <c r="H397" s="5" t="s">
        <v>218</v>
      </c>
      <c r="I397" s="6" t="s">
        <v>594</v>
      </c>
      <c r="J397" s="1" t="s">
        <v>220</v>
      </c>
      <c r="K397" s="1" t="s">
        <v>595</v>
      </c>
    </row>
    <row r="398" spans="5:11">
      <c r="E398" s="1">
        <v>91</v>
      </c>
      <c r="F398" s="4">
        <f t="shared" ref="F398:F407" si="49">F397+12</f>
        <v>644</v>
      </c>
      <c r="G398" s="7" t="s">
        <v>596</v>
      </c>
      <c r="H398" s="5" t="s">
        <v>222</v>
      </c>
      <c r="I398"/>
      <c r="J398" s="1" t="s">
        <v>223</v>
      </c>
      <c r="K398"/>
    </row>
    <row r="399" spans="5:11">
      <c r="E399" s="1">
        <v>92</v>
      </c>
      <c r="F399" s="4">
        <f t="shared" si="49"/>
        <v>656</v>
      </c>
      <c r="G399" s="7" t="s">
        <v>597</v>
      </c>
      <c r="H399" s="5" t="s">
        <v>224</v>
      </c>
      <c r="I399"/>
      <c r="J399" s="1" t="s">
        <v>225</v>
      </c>
      <c r="K399"/>
    </row>
    <row r="400" spans="5:11">
      <c r="E400" s="1">
        <v>93</v>
      </c>
      <c r="F400" s="4">
        <f t="shared" si="49"/>
        <v>668</v>
      </c>
      <c r="G400" s="7" t="s">
        <v>598</v>
      </c>
      <c r="H400" s="5" t="s">
        <v>226</v>
      </c>
      <c r="I400"/>
      <c r="J400" s="1" t="s">
        <v>227</v>
      </c>
      <c r="K400"/>
    </row>
    <row r="401" spans="2:11">
      <c r="E401" s="1">
        <v>94</v>
      </c>
      <c r="F401" s="4">
        <f t="shared" si="49"/>
        <v>680</v>
      </c>
      <c r="G401" s="7" t="s">
        <v>599</v>
      </c>
      <c r="H401" s="5" t="s">
        <v>228</v>
      </c>
      <c r="I401"/>
      <c r="J401" s="1" t="s">
        <v>229</v>
      </c>
      <c r="K401"/>
    </row>
    <row r="402" spans="2:11">
      <c r="E402" s="1">
        <v>95</v>
      </c>
      <c r="F402" s="4">
        <f t="shared" si="49"/>
        <v>692</v>
      </c>
      <c r="G402" s="7" t="s">
        <v>600</v>
      </c>
      <c r="H402" s="5" t="s">
        <v>230</v>
      </c>
      <c r="I402"/>
      <c r="J402" s="1" t="s">
        <v>231</v>
      </c>
      <c r="K402"/>
    </row>
    <row r="403" spans="2:11">
      <c r="E403" s="1">
        <v>96</v>
      </c>
      <c r="F403" s="4">
        <f t="shared" si="49"/>
        <v>704</v>
      </c>
      <c r="G403" s="7" t="s">
        <v>601</v>
      </c>
      <c r="H403" s="5" t="s">
        <v>232</v>
      </c>
      <c r="I403"/>
      <c r="J403" s="1" t="s">
        <v>233</v>
      </c>
      <c r="K403"/>
    </row>
    <row r="404" spans="2:11">
      <c r="E404" s="1">
        <v>97</v>
      </c>
      <c r="F404" s="4">
        <f t="shared" si="49"/>
        <v>716</v>
      </c>
      <c r="G404" s="7" t="s">
        <v>602</v>
      </c>
      <c r="H404" s="5" t="s">
        <v>234</v>
      </c>
      <c r="I404"/>
      <c r="J404" s="1" t="s">
        <v>235</v>
      </c>
      <c r="K404"/>
    </row>
    <row r="405" spans="2:11">
      <c r="E405" s="1">
        <v>98</v>
      </c>
      <c r="F405" s="4">
        <f t="shared" si="49"/>
        <v>728</v>
      </c>
      <c r="G405" s="7" t="s">
        <v>603</v>
      </c>
      <c r="H405" s="5" t="s">
        <v>236</v>
      </c>
      <c r="I405"/>
      <c r="J405" s="1" t="s">
        <v>237</v>
      </c>
      <c r="K405"/>
    </row>
    <row r="406" spans="2:11">
      <c r="E406" s="1">
        <v>99</v>
      </c>
      <c r="F406" s="4">
        <f t="shared" si="49"/>
        <v>740</v>
      </c>
      <c r="G406" s="7" t="s">
        <v>604</v>
      </c>
      <c r="H406" s="5" t="s">
        <v>238</v>
      </c>
      <c r="I406" s="6"/>
      <c r="J406" s="1" t="s">
        <v>239</v>
      </c>
      <c r="K406"/>
    </row>
    <row r="407" spans="2:11">
      <c r="E407" s="1">
        <v>100</v>
      </c>
      <c r="F407" s="4">
        <f t="shared" si="49"/>
        <v>752</v>
      </c>
      <c r="G407" s="7"/>
      <c r="H407" s="5" t="s">
        <v>240</v>
      </c>
      <c r="I407" s="6" t="s">
        <v>605</v>
      </c>
      <c r="J407" s="1" t="s">
        <v>242</v>
      </c>
      <c r="K407" s="1" t="s">
        <v>606</v>
      </c>
    </row>
    <row r="408" spans="2:11">
      <c r="F408" s="1"/>
      <c r="G408"/>
    </row>
    <row r="409" spans="2:11">
      <c r="B409" s="2" t="s">
        <v>607</v>
      </c>
      <c r="C409" s="1" t="s">
        <v>608</v>
      </c>
      <c r="E409" s="1">
        <v>1</v>
      </c>
      <c r="F409" s="4">
        <v>5</v>
      </c>
      <c r="G409" s="7" t="s">
        <v>609</v>
      </c>
      <c r="H409" s="5" t="s">
        <v>24</v>
      </c>
      <c r="I409" s="1"/>
      <c r="J409" s="1" t="s">
        <v>25</v>
      </c>
      <c r="K409"/>
    </row>
    <row r="410" spans="2:11">
      <c r="E410" s="1">
        <v>2</v>
      </c>
      <c r="F410" s="4">
        <f t="shared" ref="F410:F418" si="50">F409+3</f>
        <v>8</v>
      </c>
      <c r="G410" s="7" t="s">
        <v>610</v>
      </c>
      <c r="H410" s="5" t="s">
        <v>26</v>
      </c>
      <c r="I410" s="1"/>
      <c r="J410" s="1" t="s">
        <v>27</v>
      </c>
      <c r="K410"/>
    </row>
    <row r="411" spans="2:11">
      <c r="E411" s="1">
        <v>3</v>
      </c>
      <c r="F411" s="4">
        <f t="shared" si="50"/>
        <v>11</v>
      </c>
      <c r="G411" s="7" t="s">
        <v>611</v>
      </c>
      <c r="H411" s="5" t="s">
        <v>28</v>
      </c>
      <c r="I411" s="1"/>
      <c r="J411" s="1" t="s">
        <v>29</v>
      </c>
      <c r="K411"/>
    </row>
    <row r="412" spans="2:11">
      <c r="E412" s="1">
        <v>4</v>
      </c>
      <c r="F412" s="4">
        <f t="shared" si="50"/>
        <v>14</v>
      </c>
      <c r="G412" s="7" t="s">
        <v>612</v>
      </c>
      <c r="H412" s="5" t="s">
        <v>30</v>
      </c>
      <c r="I412" s="1"/>
      <c r="J412" s="1" t="s">
        <v>31</v>
      </c>
      <c r="K412"/>
    </row>
    <row r="413" spans="2:11">
      <c r="E413" s="1">
        <v>5</v>
      </c>
      <c r="F413" s="4">
        <f t="shared" si="50"/>
        <v>17</v>
      </c>
      <c r="G413" s="7" t="s">
        <v>613</v>
      </c>
      <c r="H413" s="5" t="s">
        <v>32</v>
      </c>
      <c r="I413" s="1"/>
      <c r="J413" s="1" t="s">
        <v>33</v>
      </c>
      <c r="K413"/>
    </row>
    <row r="414" spans="2:11">
      <c r="E414" s="1">
        <v>6</v>
      </c>
      <c r="F414" s="4">
        <f t="shared" si="50"/>
        <v>20</v>
      </c>
      <c r="G414" s="7" t="s">
        <v>614</v>
      </c>
      <c r="H414" s="5" t="s">
        <v>34</v>
      </c>
      <c r="I414" s="1"/>
      <c r="J414" s="1" t="s">
        <v>35</v>
      </c>
      <c r="K414"/>
    </row>
    <row r="415" spans="2:11">
      <c r="E415" s="1">
        <v>7</v>
      </c>
      <c r="F415" s="4">
        <f t="shared" si="50"/>
        <v>23</v>
      </c>
      <c r="G415" s="7" t="s">
        <v>615</v>
      </c>
      <c r="H415" s="5" t="s">
        <v>36</v>
      </c>
      <c r="I415" s="1"/>
      <c r="J415" s="1" t="s">
        <v>37</v>
      </c>
      <c r="K415"/>
    </row>
    <row r="416" spans="2:11">
      <c r="E416" s="1">
        <v>8</v>
      </c>
      <c r="F416" s="4">
        <f t="shared" si="50"/>
        <v>26</v>
      </c>
      <c r="G416" s="7" t="s">
        <v>616</v>
      </c>
      <c r="H416" s="5" t="s">
        <v>38</v>
      </c>
      <c r="I416" s="1"/>
      <c r="J416" s="1" t="s">
        <v>39</v>
      </c>
      <c r="K416"/>
    </row>
    <row r="417" spans="5:11">
      <c r="E417" s="1">
        <v>9</v>
      </c>
      <c r="F417" s="4">
        <f t="shared" si="50"/>
        <v>29</v>
      </c>
      <c r="G417" s="7" t="s">
        <v>617</v>
      </c>
      <c r="H417" s="5" t="s">
        <v>40</v>
      </c>
      <c r="I417" s="1"/>
      <c r="J417" s="1" t="s">
        <v>41</v>
      </c>
      <c r="K417"/>
    </row>
    <row r="418" spans="5:11">
      <c r="E418" s="1">
        <v>10</v>
      </c>
      <c r="F418" s="4">
        <f t="shared" si="50"/>
        <v>32</v>
      </c>
      <c r="G418" s="7" t="s">
        <v>618</v>
      </c>
      <c r="H418" s="5" t="s">
        <v>42</v>
      </c>
      <c r="I418" s="6" t="s">
        <v>619</v>
      </c>
      <c r="J418" s="1" t="s">
        <v>44</v>
      </c>
      <c r="K418" s="1" t="s">
        <v>620</v>
      </c>
    </row>
    <row r="419" spans="5:11">
      <c r="E419" s="1">
        <v>11</v>
      </c>
      <c r="F419" s="4">
        <f t="shared" ref="F419:F428" si="51">F418+4</f>
        <v>36</v>
      </c>
      <c r="G419" s="7" t="s">
        <v>621</v>
      </c>
      <c r="H419" s="5" t="s">
        <v>46</v>
      </c>
      <c r="I419"/>
      <c r="J419" s="1" t="s">
        <v>47</v>
      </c>
      <c r="K419"/>
    </row>
    <row r="420" spans="5:11">
      <c r="E420" s="1">
        <v>12</v>
      </c>
      <c r="F420" s="4">
        <f t="shared" si="51"/>
        <v>40</v>
      </c>
      <c r="G420" s="7" t="s">
        <v>622</v>
      </c>
      <c r="H420" s="5" t="s">
        <v>48</v>
      </c>
      <c r="I420"/>
      <c r="J420" s="1" t="s">
        <v>49</v>
      </c>
      <c r="K420"/>
    </row>
    <row r="421" spans="5:11">
      <c r="E421" s="1">
        <v>13</v>
      </c>
      <c r="F421" s="4">
        <f t="shared" si="51"/>
        <v>44</v>
      </c>
      <c r="G421" s="7" t="s">
        <v>623</v>
      </c>
      <c r="H421" s="5" t="s">
        <v>50</v>
      </c>
      <c r="I421"/>
      <c r="J421" s="1" t="s">
        <v>51</v>
      </c>
      <c r="K421"/>
    </row>
    <row r="422" spans="5:11">
      <c r="E422" s="1">
        <v>14</v>
      </c>
      <c r="F422" s="4">
        <f t="shared" si="51"/>
        <v>48</v>
      </c>
      <c r="G422" s="7" t="s">
        <v>624</v>
      </c>
      <c r="H422" s="5" t="s">
        <v>52</v>
      </c>
      <c r="I422"/>
      <c r="J422" s="1" t="s">
        <v>53</v>
      </c>
      <c r="K422"/>
    </row>
    <row r="423" spans="5:11">
      <c r="E423" s="1">
        <v>15</v>
      </c>
      <c r="F423" s="4">
        <f t="shared" si="51"/>
        <v>52</v>
      </c>
      <c r="G423" s="7" t="s">
        <v>625</v>
      </c>
      <c r="H423" s="5" t="s">
        <v>54</v>
      </c>
      <c r="I423"/>
      <c r="J423" s="1" t="s">
        <v>55</v>
      </c>
      <c r="K423"/>
    </row>
    <row r="424" spans="5:11">
      <c r="E424" s="1">
        <v>16</v>
      </c>
      <c r="F424" s="4">
        <f t="shared" si="51"/>
        <v>56</v>
      </c>
      <c r="G424" s="7" t="s">
        <v>626</v>
      </c>
      <c r="H424" s="5" t="s">
        <v>56</v>
      </c>
      <c r="I424"/>
      <c r="J424" s="1" t="s">
        <v>57</v>
      </c>
      <c r="K424"/>
    </row>
    <row r="425" spans="5:11">
      <c r="E425" s="1">
        <v>17</v>
      </c>
      <c r="F425" s="4">
        <f t="shared" si="51"/>
        <v>60</v>
      </c>
      <c r="G425" s="7" t="s">
        <v>627</v>
      </c>
      <c r="H425" s="5" t="s">
        <v>58</v>
      </c>
      <c r="I425"/>
      <c r="J425" s="1" t="s">
        <v>59</v>
      </c>
      <c r="K425"/>
    </row>
    <row r="426" spans="5:11">
      <c r="E426" s="1">
        <v>18</v>
      </c>
      <c r="F426" s="4">
        <f t="shared" si="51"/>
        <v>64</v>
      </c>
      <c r="G426" s="7" t="s">
        <v>628</v>
      </c>
      <c r="H426" s="5" t="s">
        <v>60</v>
      </c>
      <c r="I426"/>
      <c r="J426" s="1" t="s">
        <v>61</v>
      </c>
      <c r="K426"/>
    </row>
    <row r="427" spans="5:11">
      <c r="E427" s="1">
        <v>19</v>
      </c>
      <c r="F427" s="4">
        <f t="shared" si="51"/>
        <v>68</v>
      </c>
      <c r="G427" s="7" t="s">
        <v>629</v>
      </c>
      <c r="H427" s="5" t="s">
        <v>62</v>
      </c>
      <c r="I427" s="1"/>
      <c r="J427" s="1" t="s">
        <v>63</v>
      </c>
      <c r="K427"/>
    </row>
    <row r="428" spans="5:11">
      <c r="E428" s="1">
        <v>20</v>
      </c>
      <c r="F428" s="4">
        <f t="shared" si="51"/>
        <v>72</v>
      </c>
      <c r="G428" s="7" t="s">
        <v>630</v>
      </c>
      <c r="H428" s="5" t="s">
        <v>64</v>
      </c>
      <c r="I428" s="6" t="s">
        <v>631</v>
      </c>
      <c r="J428" s="1" t="s">
        <v>66</v>
      </c>
      <c r="K428" s="1" t="s">
        <v>632</v>
      </c>
    </row>
    <row r="429" spans="5:11">
      <c r="E429" s="1">
        <v>21</v>
      </c>
      <c r="F429" s="4">
        <f t="shared" ref="F429:F438" si="52">F428+5</f>
        <v>77</v>
      </c>
      <c r="G429" s="7" t="s">
        <v>633</v>
      </c>
      <c r="H429" s="5" t="s">
        <v>68</v>
      </c>
      <c r="I429"/>
      <c r="J429" s="1" t="s">
        <v>69</v>
      </c>
      <c r="K429"/>
    </row>
    <row r="430" spans="5:11">
      <c r="E430" s="1">
        <v>22</v>
      </c>
      <c r="F430" s="4">
        <f t="shared" si="52"/>
        <v>82</v>
      </c>
      <c r="G430" s="7" t="s">
        <v>634</v>
      </c>
      <c r="H430" s="5" t="s">
        <v>70</v>
      </c>
      <c r="I430"/>
      <c r="J430" s="1" t="s">
        <v>71</v>
      </c>
      <c r="K430"/>
    </row>
    <row r="431" spans="5:11">
      <c r="E431" s="1">
        <v>23</v>
      </c>
      <c r="F431" s="4">
        <f t="shared" si="52"/>
        <v>87</v>
      </c>
      <c r="G431" s="7" t="s">
        <v>635</v>
      </c>
      <c r="H431" s="5" t="s">
        <v>72</v>
      </c>
      <c r="I431"/>
      <c r="J431" s="1" t="s">
        <v>73</v>
      </c>
      <c r="K431"/>
    </row>
    <row r="432" spans="5:11">
      <c r="E432" s="1">
        <v>24</v>
      </c>
      <c r="F432" s="4">
        <f t="shared" si="52"/>
        <v>92</v>
      </c>
      <c r="G432" s="7" t="s">
        <v>636</v>
      </c>
      <c r="H432" s="5" t="s">
        <v>74</v>
      </c>
      <c r="I432"/>
      <c r="J432" s="1" t="s">
        <v>75</v>
      </c>
      <c r="K432"/>
    </row>
    <row r="433" spans="5:11">
      <c r="E433" s="1">
        <v>25</v>
      </c>
      <c r="F433" s="4">
        <f t="shared" si="52"/>
        <v>97</v>
      </c>
      <c r="G433" s="7" t="s">
        <v>637</v>
      </c>
      <c r="H433" s="5" t="s">
        <v>76</v>
      </c>
      <c r="I433"/>
      <c r="J433" s="1" t="s">
        <v>77</v>
      </c>
      <c r="K433"/>
    </row>
    <row r="434" spans="5:11">
      <c r="E434" s="1">
        <v>26</v>
      </c>
      <c r="F434" s="4">
        <f t="shared" si="52"/>
        <v>102</v>
      </c>
      <c r="G434" s="7" t="s">
        <v>638</v>
      </c>
      <c r="H434" s="5" t="s">
        <v>78</v>
      </c>
      <c r="I434"/>
      <c r="J434" s="1" t="s">
        <v>79</v>
      </c>
      <c r="K434"/>
    </row>
    <row r="435" spans="5:11">
      <c r="E435" s="1">
        <v>27</v>
      </c>
      <c r="F435" s="4">
        <f t="shared" si="52"/>
        <v>107</v>
      </c>
      <c r="G435" s="7" t="s">
        <v>639</v>
      </c>
      <c r="H435" s="5" t="s">
        <v>80</v>
      </c>
      <c r="I435"/>
      <c r="J435" s="1" t="s">
        <v>81</v>
      </c>
      <c r="K435"/>
    </row>
    <row r="436" spans="5:11">
      <c r="E436" s="1">
        <v>28</v>
      </c>
      <c r="F436" s="4">
        <f t="shared" si="52"/>
        <v>112</v>
      </c>
      <c r="G436" s="7" t="s">
        <v>640</v>
      </c>
      <c r="H436" s="5" t="s">
        <v>82</v>
      </c>
      <c r="I436"/>
      <c r="J436" s="1" t="s">
        <v>83</v>
      </c>
      <c r="K436"/>
    </row>
    <row r="437" spans="5:11">
      <c r="E437" s="1">
        <v>29</v>
      </c>
      <c r="F437" s="4">
        <f t="shared" si="52"/>
        <v>117</v>
      </c>
      <c r="G437" s="7" t="s">
        <v>641</v>
      </c>
      <c r="H437" s="5" t="s">
        <v>84</v>
      </c>
      <c r="I437" s="1"/>
      <c r="J437" s="1" t="s">
        <v>85</v>
      </c>
      <c r="K437"/>
    </row>
    <row r="438" spans="5:11">
      <c r="E438" s="1">
        <v>30</v>
      </c>
      <c r="F438" s="4">
        <f t="shared" si="52"/>
        <v>122</v>
      </c>
      <c r="G438" s="7" t="s">
        <v>642</v>
      </c>
      <c r="H438" s="5" t="s">
        <v>86</v>
      </c>
      <c r="I438" s="6" t="s">
        <v>643</v>
      </c>
      <c r="J438" s="1" t="s">
        <v>88</v>
      </c>
      <c r="K438" s="1" t="s">
        <v>644</v>
      </c>
    </row>
    <row r="439" spans="5:11">
      <c r="E439" s="1">
        <v>31</v>
      </c>
      <c r="F439" s="4">
        <f t="shared" ref="F439:F448" si="53">F438+6</f>
        <v>128</v>
      </c>
      <c r="G439" s="7" t="s">
        <v>645</v>
      </c>
      <c r="H439" s="5" t="s">
        <v>90</v>
      </c>
      <c r="I439"/>
      <c r="J439" s="1" t="s">
        <v>91</v>
      </c>
      <c r="K439"/>
    </row>
    <row r="440" spans="5:11">
      <c r="E440" s="1">
        <v>32</v>
      </c>
      <c r="F440" s="4">
        <f t="shared" si="53"/>
        <v>134</v>
      </c>
      <c r="G440" s="7" t="s">
        <v>646</v>
      </c>
      <c r="H440" s="5" t="s">
        <v>92</v>
      </c>
      <c r="I440"/>
      <c r="J440" s="1" t="s">
        <v>93</v>
      </c>
      <c r="K440"/>
    </row>
    <row r="441" spans="5:11">
      <c r="E441" s="1">
        <v>33</v>
      </c>
      <c r="F441" s="4">
        <f t="shared" si="53"/>
        <v>140</v>
      </c>
      <c r="G441" s="7" t="s">
        <v>647</v>
      </c>
      <c r="H441" s="5" t="s">
        <v>94</v>
      </c>
      <c r="I441"/>
      <c r="J441" s="1" t="s">
        <v>95</v>
      </c>
      <c r="K441"/>
    </row>
    <row r="442" spans="5:11">
      <c r="E442" s="1">
        <v>34</v>
      </c>
      <c r="F442" s="4">
        <f t="shared" si="53"/>
        <v>146</v>
      </c>
      <c r="G442" s="7" t="s">
        <v>648</v>
      </c>
      <c r="H442" s="5" t="s">
        <v>96</v>
      </c>
      <c r="I442"/>
      <c r="J442" s="1" t="s">
        <v>97</v>
      </c>
      <c r="K442"/>
    </row>
    <row r="443" spans="5:11">
      <c r="E443" s="1">
        <v>35</v>
      </c>
      <c r="F443" s="4">
        <f t="shared" si="53"/>
        <v>152</v>
      </c>
      <c r="G443" s="7" t="s">
        <v>649</v>
      </c>
      <c r="H443" s="5" t="s">
        <v>98</v>
      </c>
      <c r="I443"/>
      <c r="J443" s="1" t="s">
        <v>99</v>
      </c>
      <c r="K443"/>
    </row>
    <row r="444" spans="5:11">
      <c r="E444" s="1">
        <v>36</v>
      </c>
      <c r="F444" s="4">
        <f t="shared" si="53"/>
        <v>158</v>
      </c>
      <c r="G444" s="7" t="s">
        <v>650</v>
      </c>
      <c r="H444" s="5" t="s">
        <v>100</v>
      </c>
      <c r="I444"/>
      <c r="J444" s="1" t="s">
        <v>101</v>
      </c>
      <c r="K444"/>
    </row>
    <row r="445" spans="5:11">
      <c r="E445" s="1">
        <v>37</v>
      </c>
      <c r="F445" s="4">
        <f t="shared" si="53"/>
        <v>164</v>
      </c>
      <c r="G445" s="7" t="s">
        <v>651</v>
      </c>
      <c r="H445" s="5" t="s">
        <v>102</v>
      </c>
      <c r="I445"/>
      <c r="J445" s="1" t="s">
        <v>103</v>
      </c>
      <c r="K445"/>
    </row>
    <row r="446" spans="5:11">
      <c r="E446" s="1">
        <v>38</v>
      </c>
      <c r="F446" s="4">
        <f t="shared" si="53"/>
        <v>170</v>
      </c>
      <c r="G446" s="7" t="s">
        <v>652</v>
      </c>
      <c r="H446" s="5" t="s">
        <v>104</v>
      </c>
      <c r="I446"/>
      <c r="J446" s="1" t="s">
        <v>105</v>
      </c>
      <c r="K446"/>
    </row>
    <row r="447" spans="5:11">
      <c r="E447" s="1">
        <v>39</v>
      </c>
      <c r="F447" s="4">
        <f t="shared" si="53"/>
        <v>176</v>
      </c>
      <c r="G447" s="7" t="s">
        <v>653</v>
      </c>
      <c r="H447" s="5" t="s">
        <v>106</v>
      </c>
      <c r="I447" s="1"/>
      <c r="J447" s="1" t="s">
        <v>107</v>
      </c>
      <c r="K447"/>
    </row>
    <row r="448" spans="5:11">
      <c r="E448" s="1">
        <v>40</v>
      </c>
      <c r="F448" s="4">
        <f t="shared" si="53"/>
        <v>182</v>
      </c>
      <c r="G448" s="7" t="s">
        <v>654</v>
      </c>
      <c r="H448" s="5" t="s">
        <v>108</v>
      </c>
      <c r="I448" s="6" t="s">
        <v>655</v>
      </c>
      <c r="J448" s="1" t="s">
        <v>110</v>
      </c>
      <c r="K448" s="1" t="s">
        <v>656</v>
      </c>
    </row>
    <row r="449" spans="5:11">
      <c r="E449" s="1">
        <v>41</v>
      </c>
      <c r="F449" s="4">
        <f t="shared" ref="F449:F458" si="54">F448+7</f>
        <v>189</v>
      </c>
      <c r="G449" s="7" t="s">
        <v>657</v>
      </c>
      <c r="H449" s="5" t="s">
        <v>112</v>
      </c>
      <c r="I449"/>
      <c r="J449" s="1" t="s">
        <v>113</v>
      </c>
      <c r="K449"/>
    </row>
    <row r="450" spans="5:11">
      <c r="E450" s="1">
        <v>42</v>
      </c>
      <c r="F450" s="4">
        <f t="shared" si="54"/>
        <v>196</v>
      </c>
      <c r="G450" s="7" t="s">
        <v>658</v>
      </c>
      <c r="H450" s="5" t="s">
        <v>114</v>
      </c>
      <c r="I450"/>
      <c r="J450" s="1" t="s">
        <v>115</v>
      </c>
      <c r="K450"/>
    </row>
    <row r="451" spans="5:11">
      <c r="E451" s="1">
        <v>43</v>
      </c>
      <c r="F451" s="4">
        <f t="shared" si="54"/>
        <v>203</v>
      </c>
      <c r="G451" s="7" t="s">
        <v>659</v>
      </c>
      <c r="H451" s="5" t="s">
        <v>116</v>
      </c>
      <c r="I451"/>
      <c r="J451" s="1" t="s">
        <v>117</v>
      </c>
      <c r="K451"/>
    </row>
    <row r="452" spans="5:11">
      <c r="E452" s="1">
        <v>44</v>
      </c>
      <c r="F452" s="4">
        <f t="shared" si="54"/>
        <v>210</v>
      </c>
      <c r="G452" s="7" t="s">
        <v>660</v>
      </c>
      <c r="H452" s="5" t="s">
        <v>118</v>
      </c>
      <c r="I452"/>
      <c r="J452" s="1" t="s">
        <v>119</v>
      </c>
      <c r="K452"/>
    </row>
    <row r="453" spans="5:11">
      <c r="E453" s="1">
        <v>45</v>
      </c>
      <c r="F453" s="4">
        <f t="shared" si="54"/>
        <v>217</v>
      </c>
      <c r="G453" s="7" t="s">
        <v>661</v>
      </c>
      <c r="H453" s="5" t="s">
        <v>120</v>
      </c>
      <c r="I453"/>
      <c r="J453" s="1" t="s">
        <v>121</v>
      </c>
      <c r="K453"/>
    </row>
    <row r="454" spans="5:11">
      <c r="E454" s="1">
        <v>46</v>
      </c>
      <c r="F454" s="4">
        <f t="shared" si="54"/>
        <v>224</v>
      </c>
      <c r="G454" s="7" t="s">
        <v>662</v>
      </c>
      <c r="H454" s="5" t="s">
        <v>122</v>
      </c>
      <c r="I454"/>
      <c r="J454" s="1" t="s">
        <v>123</v>
      </c>
      <c r="K454"/>
    </row>
    <row r="455" spans="5:11">
      <c r="E455" s="1">
        <v>47</v>
      </c>
      <c r="F455" s="4">
        <f t="shared" si="54"/>
        <v>231</v>
      </c>
      <c r="G455" s="7" t="s">
        <v>663</v>
      </c>
      <c r="H455" s="5" t="s">
        <v>124</v>
      </c>
      <c r="I455"/>
      <c r="J455" s="1" t="s">
        <v>125</v>
      </c>
      <c r="K455"/>
    </row>
    <row r="456" spans="5:11">
      <c r="E456" s="1">
        <v>48</v>
      </c>
      <c r="F456" s="4">
        <f t="shared" si="54"/>
        <v>238</v>
      </c>
      <c r="G456" s="7" t="s">
        <v>664</v>
      </c>
      <c r="H456" s="5" t="s">
        <v>126</v>
      </c>
      <c r="I456"/>
      <c r="J456" s="1" t="s">
        <v>127</v>
      </c>
      <c r="K456"/>
    </row>
    <row r="457" spans="5:11">
      <c r="E457" s="1">
        <v>49</v>
      </c>
      <c r="F457" s="4">
        <f t="shared" si="54"/>
        <v>245</v>
      </c>
      <c r="G457" s="7" t="s">
        <v>665</v>
      </c>
      <c r="H457" s="5" t="s">
        <v>128</v>
      </c>
      <c r="I457" s="1"/>
      <c r="J457" s="1" t="s">
        <v>129</v>
      </c>
      <c r="K457"/>
    </row>
    <row r="458" spans="5:11">
      <c r="E458" s="1">
        <v>50</v>
      </c>
      <c r="F458" s="4">
        <f t="shared" si="54"/>
        <v>252</v>
      </c>
      <c r="G458" s="7" t="s">
        <v>666</v>
      </c>
      <c r="H458" s="5" t="s">
        <v>130</v>
      </c>
      <c r="I458" s="6" t="s">
        <v>667</v>
      </c>
      <c r="J458" s="1" t="s">
        <v>132</v>
      </c>
      <c r="K458" s="1" t="s">
        <v>668</v>
      </c>
    </row>
    <row r="459" spans="5:11">
      <c r="E459" s="1">
        <v>51</v>
      </c>
      <c r="F459" s="4">
        <f t="shared" ref="F459:F468" si="55">F458+8</f>
        <v>260</v>
      </c>
      <c r="G459" s="7" t="s">
        <v>669</v>
      </c>
      <c r="H459" s="5" t="s">
        <v>134</v>
      </c>
      <c r="I459"/>
      <c r="J459" s="1" t="s">
        <v>135</v>
      </c>
      <c r="K459"/>
    </row>
    <row r="460" spans="5:11">
      <c r="E460" s="1">
        <v>52</v>
      </c>
      <c r="F460" s="4">
        <f t="shared" si="55"/>
        <v>268</v>
      </c>
      <c r="G460" s="7" t="s">
        <v>670</v>
      </c>
      <c r="H460" s="5" t="s">
        <v>136</v>
      </c>
      <c r="I460"/>
      <c r="J460" s="1" t="s">
        <v>137</v>
      </c>
      <c r="K460"/>
    </row>
    <row r="461" spans="5:11">
      <c r="E461" s="1">
        <v>53</v>
      </c>
      <c r="F461" s="4">
        <f t="shared" si="55"/>
        <v>276</v>
      </c>
      <c r="G461" s="7" t="s">
        <v>671</v>
      </c>
      <c r="H461" s="5" t="s">
        <v>138</v>
      </c>
      <c r="I461"/>
      <c r="J461" s="1" t="s">
        <v>139</v>
      </c>
      <c r="K461"/>
    </row>
    <row r="462" spans="5:11">
      <c r="E462" s="1">
        <v>54</v>
      </c>
      <c r="F462" s="4">
        <f t="shared" si="55"/>
        <v>284</v>
      </c>
      <c r="G462" s="7" t="s">
        <v>672</v>
      </c>
      <c r="H462" s="5" t="s">
        <v>140</v>
      </c>
      <c r="I462"/>
      <c r="J462" s="1" t="s">
        <v>141</v>
      </c>
      <c r="K462"/>
    </row>
    <row r="463" spans="5:11">
      <c r="E463" s="1">
        <v>55</v>
      </c>
      <c r="F463" s="4">
        <f t="shared" si="55"/>
        <v>292</v>
      </c>
      <c r="G463" s="7" t="s">
        <v>673</v>
      </c>
      <c r="H463" s="5" t="s">
        <v>142</v>
      </c>
      <c r="I463"/>
      <c r="J463" s="1" t="s">
        <v>143</v>
      </c>
      <c r="K463"/>
    </row>
    <row r="464" spans="5:11">
      <c r="E464" s="1">
        <v>56</v>
      </c>
      <c r="F464" s="4">
        <f t="shared" si="55"/>
        <v>300</v>
      </c>
      <c r="G464" s="7" t="s">
        <v>674</v>
      </c>
      <c r="H464" s="5" t="s">
        <v>144</v>
      </c>
      <c r="I464"/>
      <c r="J464" s="1" t="s">
        <v>145</v>
      </c>
      <c r="K464"/>
    </row>
    <row r="465" spans="5:11">
      <c r="E465" s="1">
        <v>57</v>
      </c>
      <c r="F465" s="4">
        <f t="shared" si="55"/>
        <v>308</v>
      </c>
      <c r="G465" s="7" t="s">
        <v>675</v>
      </c>
      <c r="H465" s="5" t="s">
        <v>146</v>
      </c>
      <c r="I465"/>
      <c r="J465" s="1" t="s">
        <v>147</v>
      </c>
      <c r="K465"/>
    </row>
    <row r="466" spans="5:11">
      <c r="E466" s="1">
        <v>58</v>
      </c>
      <c r="F466" s="4">
        <f t="shared" si="55"/>
        <v>316</v>
      </c>
      <c r="G466" s="7" t="s">
        <v>676</v>
      </c>
      <c r="H466" s="5" t="s">
        <v>148</v>
      </c>
      <c r="I466"/>
      <c r="J466" s="1" t="s">
        <v>149</v>
      </c>
      <c r="K466"/>
    </row>
    <row r="467" spans="5:11">
      <c r="E467" s="1">
        <v>59</v>
      </c>
      <c r="F467" s="4">
        <f t="shared" si="55"/>
        <v>324</v>
      </c>
      <c r="G467" s="7" t="s">
        <v>677</v>
      </c>
      <c r="H467" s="5" t="s">
        <v>150</v>
      </c>
      <c r="I467" s="1"/>
      <c r="J467" s="1" t="s">
        <v>151</v>
      </c>
      <c r="K467"/>
    </row>
    <row r="468" spans="5:11">
      <c r="E468" s="1">
        <v>60</v>
      </c>
      <c r="F468" s="4">
        <f t="shared" si="55"/>
        <v>332</v>
      </c>
      <c r="G468" s="7" t="s">
        <v>678</v>
      </c>
      <c r="H468" s="5" t="s">
        <v>152</v>
      </c>
      <c r="I468" s="6" t="s">
        <v>679</v>
      </c>
      <c r="J468" s="1" t="s">
        <v>154</v>
      </c>
      <c r="K468" s="1" t="s">
        <v>680</v>
      </c>
    </row>
    <row r="469" spans="5:11">
      <c r="E469" s="1">
        <v>61</v>
      </c>
      <c r="F469" s="4">
        <f t="shared" ref="F469:F478" si="56">F468+9</f>
        <v>341</v>
      </c>
      <c r="G469" s="7" t="s">
        <v>681</v>
      </c>
      <c r="H469" s="5" t="s">
        <v>156</v>
      </c>
      <c r="I469"/>
      <c r="J469" s="1" t="s">
        <v>157</v>
      </c>
      <c r="K469"/>
    </row>
    <row r="470" spans="5:11">
      <c r="E470" s="1">
        <v>62</v>
      </c>
      <c r="F470" s="4">
        <f t="shared" si="56"/>
        <v>350</v>
      </c>
      <c r="G470" s="7" t="s">
        <v>682</v>
      </c>
      <c r="H470" s="5" t="s">
        <v>158</v>
      </c>
      <c r="I470"/>
      <c r="J470" s="1" t="s">
        <v>159</v>
      </c>
      <c r="K470"/>
    </row>
    <row r="471" spans="5:11">
      <c r="E471" s="1">
        <v>63</v>
      </c>
      <c r="F471" s="4">
        <f t="shared" si="56"/>
        <v>359</v>
      </c>
      <c r="G471" s="7" t="s">
        <v>683</v>
      </c>
      <c r="H471" s="5" t="s">
        <v>160</v>
      </c>
      <c r="I471"/>
      <c r="J471" s="1" t="s">
        <v>161</v>
      </c>
      <c r="K471"/>
    </row>
    <row r="472" spans="5:11">
      <c r="E472" s="1">
        <v>64</v>
      </c>
      <c r="F472" s="4">
        <f t="shared" si="56"/>
        <v>368</v>
      </c>
      <c r="G472" s="7" t="s">
        <v>684</v>
      </c>
      <c r="H472" s="5" t="s">
        <v>162</v>
      </c>
      <c r="I472"/>
      <c r="J472" s="1" t="s">
        <v>163</v>
      </c>
      <c r="K472"/>
    </row>
    <row r="473" spans="5:11">
      <c r="E473" s="1">
        <v>65</v>
      </c>
      <c r="F473" s="4">
        <f t="shared" si="56"/>
        <v>377</v>
      </c>
      <c r="G473" s="7" t="s">
        <v>685</v>
      </c>
      <c r="H473" s="5" t="s">
        <v>164</v>
      </c>
      <c r="I473"/>
      <c r="J473" s="1" t="s">
        <v>165</v>
      </c>
      <c r="K473"/>
    </row>
    <row r="474" spans="5:11">
      <c r="E474" s="1">
        <v>66</v>
      </c>
      <c r="F474" s="4">
        <f t="shared" si="56"/>
        <v>386</v>
      </c>
      <c r="G474" s="7" t="s">
        <v>686</v>
      </c>
      <c r="H474" s="5" t="s">
        <v>166</v>
      </c>
      <c r="I474"/>
      <c r="J474" s="1" t="s">
        <v>167</v>
      </c>
      <c r="K474"/>
    </row>
    <row r="475" spans="5:11">
      <c r="E475" s="1">
        <v>67</v>
      </c>
      <c r="F475" s="4">
        <f t="shared" si="56"/>
        <v>395</v>
      </c>
      <c r="G475" s="7" t="s">
        <v>687</v>
      </c>
      <c r="H475" s="5" t="s">
        <v>168</v>
      </c>
      <c r="I475"/>
      <c r="J475" s="1" t="s">
        <v>169</v>
      </c>
      <c r="K475"/>
    </row>
    <row r="476" spans="5:11">
      <c r="E476" s="1">
        <v>68</v>
      </c>
      <c r="F476" s="4">
        <f t="shared" si="56"/>
        <v>404</v>
      </c>
      <c r="G476" s="7" t="s">
        <v>688</v>
      </c>
      <c r="H476" s="5" t="s">
        <v>170</v>
      </c>
      <c r="I476"/>
      <c r="J476" s="1" t="s">
        <v>171</v>
      </c>
      <c r="K476"/>
    </row>
    <row r="477" spans="5:11">
      <c r="E477" s="1">
        <v>69</v>
      </c>
      <c r="F477" s="4">
        <f t="shared" si="56"/>
        <v>413</v>
      </c>
      <c r="G477" s="7" t="s">
        <v>689</v>
      </c>
      <c r="H477" s="5" t="s">
        <v>172</v>
      </c>
      <c r="I477" s="1"/>
      <c r="J477" s="1" t="s">
        <v>173</v>
      </c>
      <c r="K477"/>
    </row>
    <row r="478" spans="5:11">
      <c r="E478" s="1">
        <v>70</v>
      </c>
      <c r="F478" s="4">
        <f t="shared" si="56"/>
        <v>422</v>
      </c>
      <c r="G478" s="7" t="s">
        <v>690</v>
      </c>
      <c r="H478" s="5" t="s">
        <v>174</v>
      </c>
      <c r="I478" s="6" t="s">
        <v>691</v>
      </c>
      <c r="J478" s="1" t="s">
        <v>176</v>
      </c>
      <c r="K478" s="1" t="s">
        <v>692</v>
      </c>
    </row>
    <row r="479" spans="5:11">
      <c r="E479" s="1">
        <v>71</v>
      </c>
      <c r="F479" s="4">
        <f t="shared" ref="F479:F488" si="57">F478+10</f>
        <v>432</v>
      </c>
      <c r="G479" s="7" t="s">
        <v>693</v>
      </c>
      <c r="H479" s="5" t="s">
        <v>178</v>
      </c>
      <c r="I479"/>
      <c r="J479" s="1" t="s">
        <v>179</v>
      </c>
      <c r="K479"/>
    </row>
    <row r="480" spans="5:11">
      <c r="E480" s="1">
        <v>72</v>
      </c>
      <c r="F480" s="4">
        <f t="shared" si="57"/>
        <v>442</v>
      </c>
      <c r="G480" s="7" t="s">
        <v>694</v>
      </c>
      <c r="H480" s="5" t="s">
        <v>180</v>
      </c>
      <c r="I480"/>
      <c r="J480" s="1" t="s">
        <v>181</v>
      </c>
      <c r="K480"/>
    </row>
    <row r="481" spans="5:11">
      <c r="E481" s="1">
        <v>73</v>
      </c>
      <c r="F481" s="4">
        <f t="shared" si="57"/>
        <v>452</v>
      </c>
      <c r="G481" s="7" t="s">
        <v>695</v>
      </c>
      <c r="H481" s="5" t="s">
        <v>182</v>
      </c>
      <c r="I481"/>
      <c r="J481" s="1" t="s">
        <v>183</v>
      </c>
      <c r="K481"/>
    </row>
    <row r="482" spans="5:11">
      <c r="E482" s="1">
        <v>74</v>
      </c>
      <c r="F482" s="4">
        <f t="shared" si="57"/>
        <v>462</v>
      </c>
      <c r="G482" s="7" t="s">
        <v>696</v>
      </c>
      <c r="H482" s="5" t="s">
        <v>184</v>
      </c>
      <c r="I482"/>
      <c r="J482" s="1" t="s">
        <v>185</v>
      </c>
      <c r="K482"/>
    </row>
    <row r="483" spans="5:11">
      <c r="E483" s="1">
        <v>75</v>
      </c>
      <c r="F483" s="4">
        <f t="shared" si="57"/>
        <v>472</v>
      </c>
      <c r="G483" s="7" t="s">
        <v>697</v>
      </c>
      <c r="H483" s="5" t="s">
        <v>186</v>
      </c>
      <c r="I483"/>
      <c r="J483" s="1" t="s">
        <v>187</v>
      </c>
      <c r="K483"/>
    </row>
    <row r="484" spans="5:11">
      <c r="E484" s="1">
        <v>76</v>
      </c>
      <c r="F484" s="4">
        <f t="shared" si="57"/>
        <v>482</v>
      </c>
      <c r="G484" s="7" t="s">
        <v>698</v>
      </c>
      <c r="H484" s="5" t="s">
        <v>188</v>
      </c>
      <c r="I484"/>
      <c r="J484" s="1" t="s">
        <v>189</v>
      </c>
      <c r="K484"/>
    </row>
    <row r="485" spans="5:11">
      <c r="E485" s="1">
        <v>77</v>
      </c>
      <c r="F485" s="4">
        <f t="shared" si="57"/>
        <v>492</v>
      </c>
      <c r="G485" s="7" t="s">
        <v>699</v>
      </c>
      <c r="H485" s="5" t="s">
        <v>190</v>
      </c>
      <c r="I485"/>
      <c r="J485" s="1" t="s">
        <v>191</v>
      </c>
      <c r="K485"/>
    </row>
    <row r="486" spans="5:11">
      <c r="E486" s="1">
        <v>78</v>
      </c>
      <c r="F486" s="4">
        <f t="shared" si="57"/>
        <v>502</v>
      </c>
      <c r="G486" s="7" t="s">
        <v>700</v>
      </c>
      <c r="H486" s="5" t="s">
        <v>192</v>
      </c>
      <c r="I486"/>
      <c r="J486" s="1" t="s">
        <v>193</v>
      </c>
      <c r="K486"/>
    </row>
    <row r="487" spans="5:11">
      <c r="E487" s="1">
        <v>79</v>
      </c>
      <c r="F487" s="4">
        <f t="shared" si="57"/>
        <v>512</v>
      </c>
      <c r="G487" s="7" t="s">
        <v>701</v>
      </c>
      <c r="H487" s="5" t="s">
        <v>194</v>
      </c>
      <c r="I487" s="1"/>
      <c r="J487" s="1" t="s">
        <v>195</v>
      </c>
      <c r="K487"/>
    </row>
    <row r="488" spans="5:11">
      <c r="E488" s="1">
        <v>80</v>
      </c>
      <c r="F488" s="4">
        <f t="shared" si="57"/>
        <v>522</v>
      </c>
      <c r="G488" s="7" t="s">
        <v>702</v>
      </c>
      <c r="H488" s="5" t="s">
        <v>196</v>
      </c>
      <c r="I488" s="6" t="s">
        <v>703</v>
      </c>
      <c r="J488" s="1" t="s">
        <v>198</v>
      </c>
      <c r="K488" s="1" t="s">
        <v>704</v>
      </c>
    </row>
    <row r="489" spans="5:11">
      <c r="E489" s="1">
        <v>81</v>
      </c>
      <c r="F489" s="4">
        <f t="shared" ref="F489:F498" si="58">F488+11</f>
        <v>533</v>
      </c>
      <c r="G489" s="7" t="s">
        <v>705</v>
      </c>
      <c r="H489" s="5" t="s">
        <v>200</v>
      </c>
      <c r="I489"/>
      <c r="J489" s="1" t="s">
        <v>201</v>
      </c>
      <c r="K489"/>
    </row>
    <row r="490" spans="5:11">
      <c r="E490" s="1">
        <v>82</v>
      </c>
      <c r="F490" s="4">
        <f t="shared" si="58"/>
        <v>544</v>
      </c>
      <c r="G490" s="7" t="s">
        <v>706</v>
      </c>
      <c r="H490" s="5" t="s">
        <v>202</v>
      </c>
      <c r="I490"/>
      <c r="J490" s="1" t="s">
        <v>203</v>
      </c>
      <c r="K490"/>
    </row>
    <row r="491" spans="5:11">
      <c r="E491" s="1">
        <v>83</v>
      </c>
      <c r="F491" s="4">
        <f t="shared" si="58"/>
        <v>555</v>
      </c>
      <c r="G491" s="7" t="s">
        <v>707</v>
      </c>
      <c r="H491" s="5" t="s">
        <v>204</v>
      </c>
      <c r="I491"/>
      <c r="J491" s="1" t="s">
        <v>205</v>
      </c>
      <c r="K491"/>
    </row>
    <row r="492" spans="5:11">
      <c r="E492" s="1">
        <v>84</v>
      </c>
      <c r="F492" s="4">
        <f t="shared" si="58"/>
        <v>566</v>
      </c>
      <c r="G492" s="7" t="s">
        <v>708</v>
      </c>
      <c r="H492" s="5" t="s">
        <v>206</v>
      </c>
      <c r="I492"/>
      <c r="J492" s="1" t="s">
        <v>207</v>
      </c>
      <c r="K492"/>
    </row>
    <row r="493" spans="5:11">
      <c r="E493" s="1">
        <v>85</v>
      </c>
      <c r="F493" s="4">
        <f t="shared" si="58"/>
        <v>577</v>
      </c>
      <c r="G493" s="7" t="s">
        <v>709</v>
      </c>
      <c r="H493" s="5" t="s">
        <v>208</v>
      </c>
      <c r="I493"/>
      <c r="J493" s="1" t="s">
        <v>209</v>
      </c>
      <c r="K493"/>
    </row>
    <row r="494" spans="5:11">
      <c r="E494" s="1">
        <v>86</v>
      </c>
      <c r="F494" s="4">
        <f t="shared" si="58"/>
        <v>588</v>
      </c>
      <c r="G494" s="7" t="s">
        <v>710</v>
      </c>
      <c r="H494" s="5" t="s">
        <v>210</v>
      </c>
      <c r="I494"/>
      <c r="J494" s="1" t="s">
        <v>211</v>
      </c>
      <c r="K494"/>
    </row>
    <row r="495" spans="5:11">
      <c r="E495" s="1">
        <v>87</v>
      </c>
      <c r="F495" s="4">
        <f t="shared" si="58"/>
        <v>599</v>
      </c>
      <c r="G495" s="7" t="s">
        <v>711</v>
      </c>
      <c r="H495" s="5" t="s">
        <v>212</v>
      </c>
      <c r="I495"/>
      <c r="J495" s="1" t="s">
        <v>213</v>
      </c>
      <c r="K495"/>
    </row>
    <row r="496" spans="5:11">
      <c r="E496" s="1">
        <v>88</v>
      </c>
      <c r="F496" s="4">
        <f t="shared" si="58"/>
        <v>610</v>
      </c>
      <c r="G496" s="7" t="s">
        <v>712</v>
      </c>
      <c r="H496" s="5" t="s">
        <v>214</v>
      </c>
      <c r="I496"/>
      <c r="J496" s="1" t="s">
        <v>215</v>
      </c>
      <c r="K496"/>
    </row>
    <row r="497" spans="2:11">
      <c r="E497" s="1">
        <v>89</v>
      </c>
      <c r="F497" s="4">
        <f t="shared" si="58"/>
        <v>621</v>
      </c>
      <c r="G497" s="7" t="s">
        <v>713</v>
      </c>
      <c r="H497" s="5" t="s">
        <v>216</v>
      </c>
      <c r="I497" s="1"/>
      <c r="J497" s="1" t="s">
        <v>217</v>
      </c>
      <c r="K497"/>
    </row>
    <row r="498" spans="2:11">
      <c r="E498" s="1">
        <v>90</v>
      </c>
      <c r="F498" s="4">
        <f t="shared" si="58"/>
        <v>632</v>
      </c>
      <c r="G498" s="7" t="s">
        <v>714</v>
      </c>
      <c r="H498" s="5" t="s">
        <v>218</v>
      </c>
      <c r="I498" s="6" t="s">
        <v>715</v>
      </c>
      <c r="J498" s="1" t="s">
        <v>220</v>
      </c>
      <c r="K498" s="1" t="s">
        <v>716</v>
      </c>
    </row>
    <row r="499" spans="2:11">
      <c r="E499" s="1">
        <v>91</v>
      </c>
      <c r="F499" s="4">
        <f t="shared" ref="F499:F508" si="59">F498+12</f>
        <v>644</v>
      </c>
      <c r="G499" s="7" t="s">
        <v>717</v>
      </c>
      <c r="H499" s="5" t="s">
        <v>222</v>
      </c>
      <c r="I499"/>
      <c r="J499" s="1" t="s">
        <v>223</v>
      </c>
      <c r="K499"/>
    </row>
    <row r="500" spans="2:11">
      <c r="E500" s="1">
        <v>92</v>
      </c>
      <c r="F500" s="4">
        <f t="shared" si="59"/>
        <v>656</v>
      </c>
      <c r="G500" s="7" t="s">
        <v>718</v>
      </c>
      <c r="H500" s="5" t="s">
        <v>224</v>
      </c>
      <c r="I500"/>
      <c r="J500" s="1" t="s">
        <v>225</v>
      </c>
      <c r="K500"/>
    </row>
    <row r="501" spans="2:11">
      <c r="E501" s="1">
        <v>93</v>
      </c>
      <c r="F501" s="4">
        <f t="shared" si="59"/>
        <v>668</v>
      </c>
      <c r="G501" s="7" t="s">
        <v>719</v>
      </c>
      <c r="H501" s="5" t="s">
        <v>226</v>
      </c>
      <c r="I501"/>
      <c r="J501" s="1" t="s">
        <v>227</v>
      </c>
      <c r="K501"/>
    </row>
    <row r="502" spans="2:11">
      <c r="E502" s="1">
        <v>94</v>
      </c>
      <c r="F502" s="4">
        <f t="shared" si="59"/>
        <v>680</v>
      </c>
      <c r="G502" s="7" t="s">
        <v>720</v>
      </c>
      <c r="H502" s="5" t="s">
        <v>228</v>
      </c>
      <c r="I502"/>
      <c r="J502" s="1" t="s">
        <v>229</v>
      </c>
      <c r="K502"/>
    </row>
    <row r="503" spans="2:11">
      <c r="E503" s="1">
        <v>95</v>
      </c>
      <c r="F503" s="4">
        <f t="shared" si="59"/>
        <v>692</v>
      </c>
      <c r="G503" s="7" t="s">
        <v>721</v>
      </c>
      <c r="H503" s="5" t="s">
        <v>230</v>
      </c>
      <c r="I503"/>
      <c r="J503" s="1" t="s">
        <v>231</v>
      </c>
      <c r="K503"/>
    </row>
    <row r="504" spans="2:11">
      <c r="E504" s="1">
        <v>96</v>
      </c>
      <c r="F504" s="4">
        <f t="shared" si="59"/>
        <v>704</v>
      </c>
      <c r="G504" s="7" t="s">
        <v>722</v>
      </c>
      <c r="H504" s="5" t="s">
        <v>232</v>
      </c>
      <c r="I504"/>
      <c r="J504" s="1" t="s">
        <v>233</v>
      </c>
      <c r="K504"/>
    </row>
    <row r="505" spans="2:11">
      <c r="E505" s="1">
        <v>97</v>
      </c>
      <c r="F505" s="4">
        <f t="shared" si="59"/>
        <v>716</v>
      </c>
      <c r="G505" s="7" t="s">
        <v>723</v>
      </c>
      <c r="H505" s="5" t="s">
        <v>234</v>
      </c>
      <c r="I505"/>
      <c r="J505" s="1" t="s">
        <v>235</v>
      </c>
      <c r="K505"/>
    </row>
    <row r="506" spans="2:11">
      <c r="E506" s="1">
        <v>98</v>
      </c>
      <c r="F506" s="4">
        <f t="shared" si="59"/>
        <v>728</v>
      </c>
      <c r="G506" s="7" t="s">
        <v>724</v>
      </c>
      <c r="H506" s="5" t="s">
        <v>236</v>
      </c>
      <c r="I506"/>
      <c r="J506" s="1" t="s">
        <v>237</v>
      </c>
      <c r="K506"/>
    </row>
    <row r="507" spans="2:11">
      <c r="E507" s="1">
        <v>99</v>
      </c>
      <c r="F507" s="4">
        <f t="shared" si="59"/>
        <v>740</v>
      </c>
      <c r="G507" s="7" t="s">
        <v>725</v>
      </c>
      <c r="H507" s="5" t="s">
        <v>238</v>
      </c>
      <c r="I507" s="6"/>
      <c r="J507" s="1" t="s">
        <v>239</v>
      </c>
      <c r="K507"/>
    </row>
    <row r="508" spans="2:11">
      <c r="E508" s="1">
        <v>100</v>
      </c>
      <c r="F508" s="4">
        <f t="shared" si="59"/>
        <v>752</v>
      </c>
      <c r="G508" s="7"/>
      <c r="H508" s="5" t="s">
        <v>240</v>
      </c>
      <c r="I508" s="6" t="s">
        <v>726</v>
      </c>
      <c r="J508" s="1" t="s">
        <v>242</v>
      </c>
      <c r="K508" s="1" t="s">
        <v>727</v>
      </c>
    </row>
    <row r="509" spans="2:11">
      <c r="F509" s="1"/>
      <c r="G509"/>
    </row>
    <row r="510" spans="2:11">
      <c r="B510" s="2" t="s">
        <v>728</v>
      </c>
      <c r="C510" s="1" t="s">
        <v>729</v>
      </c>
      <c r="E510" s="1">
        <v>1</v>
      </c>
      <c r="F510" s="4">
        <v>5</v>
      </c>
      <c r="G510" s="7" t="s">
        <v>730</v>
      </c>
      <c r="H510" s="5" t="s">
        <v>24</v>
      </c>
      <c r="I510"/>
      <c r="J510" s="1" t="s">
        <v>25</v>
      </c>
      <c r="K510"/>
    </row>
    <row r="511" spans="2:11">
      <c r="E511" s="1">
        <v>2</v>
      </c>
      <c r="F511" s="4">
        <f t="shared" ref="F511:F519" si="60">F510+3</f>
        <v>8</v>
      </c>
      <c r="G511" s="7" t="s">
        <v>731</v>
      </c>
      <c r="H511" s="5" t="s">
        <v>26</v>
      </c>
      <c r="I511"/>
      <c r="J511" s="1" t="s">
        <v>27</v>
      </c>
      <c r="K511"/>
    </row>
    <row r="512" spans="2:11">
      <c r="E512" s="1">
        <v>3</v>
      </c>
      <c r="F512" s="4">
        <f t="shared" si="60"/>
        <v>11</v>
      </c>
      <c r="G512" s="7" t="s">
        <v>732</v>
      </c>
      <c r="H512" s="5" t="s">
        <v>28</v>
      </c>
      <c r="I512"/>
      <c r="J512" s="1" t="s">
        <v>29</v>
      </c>
      <c r="K512"/>
    </row>
    <row r="513" spans="5:11">
      <c r="E513" s="1">
        <v>4</v>
      </c>
      <c r="F513" s="4">
        <f t="shared" si="60"/>
        <v>14</v>
      </c>
      <c r="G513" s="7" t="s">
        <v>733</v>
      </c>
      <c r="H513" s="5" t="s">
        <v>30</v>
      </c>
      <c r="I513"/>
      <c r="J513" s="1" t="s">
        <v>31</v>
      </c>
      <c r="K513"/>
    </row>
    <row r="514" spans="5:11">
      <c r="E514" s="1">
        <v>5</v>
      </c>
      <c r="F514" s="4">
        <f t="shared" si="60"/>
        <v>17</v>
      </c>
      <c r="G514" s="7" t="s">
        <v>734</v>
      </c>
      <c r="H514" s="5" t="s">
        <v>32</v>
      </c>
      <c r="I514"/>
      <c r="J514" s="1" t="s">
        <v>33</v>
      </c>
      <c r="K514"/>
    </row>
    <row r="515" spans="5:11">
      <c r="E515" s="1">
        <v>6</v>
      </c>
      <c r="F515" s="4">
        <f t="shared" si="60"/>
        <v>20</v>
      </c>
      <c r="G515" s="7" t="s">
        <v>735</v>
      </c>
      <c r="H515" s="5" t="s">
        <v>34</v>
      </c>
      <c r="I515"/>
      <c r="J515" s="1" t="s">
        <v>35</v>
      </c>
      <c r="K515"/>
    </row>
    <row r="516" spans="5:11">
      <c r="E516" s="1">
        <v>7</v>
      </c>
      <c r="F516" s="4">
        <f t="shared" si="60"/>
        <v>23</v>
      </c>
      <c r="G516" s="7" t="s">
        <v>736</v>
      </c>
      <c r="H516" s="5" t="s">
        <v>36</v>
      </c>
      <c r="I516"/>
      <c r="J516" s="1" t="s">
        <v>37</v>
      </c>
      <c r="K516"/>
    </row>
    <row r="517" spans="5:11">
      <c r="E517" s="1">
        <v>8</v>
      </c>
      <c r="F517" s="4">
        <f t="shared" si="60"/>
        <v>26</v>
      </c>
      <c r="G517" s="7" t="s">
        <v>737</v>
      </c>
      <c r="H517" s="5" t="s">
        <v>38</v>
      </c>
      <c r="I517"/>
      <c r="J517" s="1" t="s">
        <v>39</v>
      </c>
      <c r="K517"/>
    </row>
    <row r="518" spans="5:11">
      <c r="E518" s="1">
        <v>9</v>
      </c>
      <c r="F518" s="4">
        <f t="shared" si="60"/>
        <v>29</v>
      </c>
      <c r="G518" s="7" t="s">
        <v>738</v>
      </c>
      <c r="H518" s="5" t="s">
        <v>40</v>
      </c>
      <c r="I518"/>
      <c r="J518" s="1" t="s">
        <v>41</v>
      </c>
      <c r="K518"/>
    </row>
    <row r="519" spans="5:11">
      <c r="E519" s="1">
        <v>10</v>
      </c>
      <c r="F519" s="4">
        <f t="shared" si="60"/>
        <v>32</v>
      </c>
      <c r="G519" s="7" t="s">
        <v>739</v>
      </c>
      <c r="H519" s="5" t="s">
        <v>42</v>
      </c>
      <c r="I519" t="s">
        <v>740</v>
      </c>
      <c r="J519" s="1" t="s">
        <v>44</v>
      </c>
      <c r="K519" s="1" t="s">
        <v>741</v>
      </c>
    </row>
    <row r="520" spans="5:11">
      <c r="E520" s="1">
        <v>11</v>
      </c>
      <c r="F520" s="4">
        <f t="shared" ref="F520:F529" si="61">F519+4</f>
        <v>36</v>
      </c>
      <c r="G520" s="7" t="s">
        <v>742</v>
      </c>
      <c r="H520" s="5" t="s">
        <v>46</v>
      </c>
      <c r="I520"/>
      <c r="J520" s="1" t="s">
        <v>47</v>
      </c>
      <c r="K520"/>
    </row>
    <row r="521" spans="5:11">
      <c r="E521" s="1">
        <v>12</v>
      </c>
      <c r="F521" s="4">
        <f t="shared" si="61"/>
        <v>40</v>
      </c>
      <c r="G521" s="7" t="s">
        <v>743</v>
      </c>
      <c r="H521" s="5" t="s">
        <v>48</v>
      </c>
      <c r="I521"/>
      <c r="J521" s="1" t="s">
        <v>49</v>
      </c>
      <c r="K521"/>
    </row>
    <row r="522" spans="5:11">
      <c r="E522" s="1">
        <v>13</v>
      </c>
      <c r="F522" s="4">
        <f t="shared" si="61"/>
        <v>44</v>
      </c>
      <c r="G522" s="7" t="s">
        <v>744</v>
      </c>
      <c r="H522" s="5" t="s">
        <v>50</v>
      </c>
      <c r="I522"/>
      <c r="J522" s="1" t="s">
        <v>51</v>
      </c>
      <c r="K522"/>
    </row>
    <row r="523" spans="5:11">
      <c r="E523" s="1">
        <v>14</v>
      </c>
      <c r="F523" s="4">
        <f t="shared" si="61"/>
        <v>48</v>
      </c>
      <c r="G523" s="7" t="s">
        <v>745</v>
      </c>
      <c r="H523" s="5" t="s">
        <v>52</v>
      </c>
      <c r="I523"/>
      <c r="J523" s="1" t="s">
        <v>53</v>
      </c>
      <c r="K523"/>
    </row>
    <row r="524" spans="5:11">
      <c r="E524" s="1">
        <v>15</v>
      </c>
      <c r="F524" s="4">
        <f t="shared" si="61"/>
        <v>52</v>
      </c>
      <c r="G524" s="7" t="s">
        <v>746</v>
      </c>
      <c r="H524" s="5" t="s">
        <v>54</v>
      </c>
      <c r="I524"/>
      <c r="J524" s="1" t="s">
        <v>55</v>
      </c>
      <c r="K524"/>
    </row>
    <row r="525" spans="5:11">
      <c r="E525" s="1">
        <v>16</v>
      </c>
      <c r="F525" s="4">
        <f t="shared" si="61"/>
        <v>56</v>
      </c>
      <c r="G525" s="7" t="s">
        <v>747</v>
      </c>
      <c r="H525" s="5" t="s">
        <v>56</v>
      </c>
      <c r="I525"/>
      <c r="J525" s="1" t="s">
        <v>57</v>
      </c>
      <c r="K525"/>
    </row>
    <row r="526" spans="5:11">
      <c r="E526" s="1">
        <v>17</v>
      </c>
      <c r="F526" s="4">
        <f t="shared" si="61"/>
        <v>60</v>
      </c>
      <c r="G526" s="7" t="s">
        <v>748</v>
      </c>
      <c r="H526" s="5" t="s">
        <v>58</v>
      </c>
      <c r="I526"/>
      <c r="J526" s="1" t="s">
        <v>59</v>
      </c>
      <c r="K526"/>
    </row>
    <row r="527" spans="5:11">
      <c r="E527" s="1">
        <v>18</v>
      </c>
      <c r="F527" s="4">
        <f t="shared" si="61"/>
        <v>64</v>
      </c>
      <c r="G527" s="7" t="s">
        <v>749</v>
      </c>
      <c r="H527" s="5" t="s">
        <v>60</v>
      </c>
      <c r="I527"/>
      <c r="J527" s="1" t="s">
        <v>61</v>
      </c>
      <c r="K527"/>
    </row>
    <row r="528" spans="5:11">
      <c r="E528" s="1">
        <v>19</v>
      </c>
      <c r="F528" s="4">
        <f t="shared" si="61"/>
        <v>68</v>
      </c>
      <c r="G528" s="7" t="s">
        <v>750</v>
      </c>
      <c r="H528" s="5" t="s">
        <v>62</v>
      </c>
      <c r="I528"/>
      <c r="J528" s="1" t="s">
        <v>63</v>
      </c>
      <c r="K528"/>
    </row>
    <row r="529" spans="5:11">
      <c r="E529" s="1">
        <v>20</v>
      </c>
      <c r="F529" s="4">
        <f t="shared" si="61"/>
        <v>72</v>
      </c>
      <c r="G529" s="7" t="s">
        <v>751</v>
      </c>
      <c r="H529" s="5" t="s">
        <v>64</v>
      </c>
      <c r="I529" t="s">
        <v>752</v>
      </c>
      <c r="J529" s="1" t="s">
        <v>66</v>
      </c>
      <c r="K529" s="1" t="s">
        <v>753</v>
      </c>
    </row>
    <row r="530" spans="5:11">
      <c r="E530" s="1">
        <v>21</v>
      </c>
      <c r="F530" s="4">
        <f t="shared" ref="F530:F539" si="62">F529+5</f>
        <v>77</v>
      </c>
      <c r="G530" s="7" t="s">
        <v>754</v>
      </c>
      <c r="H530" s="5" t="s">
        <v>68</v>
      </c>
      <c r="I530"/>
      <c r="J530" s="1" t="s">
        <v>69</v>
      </c>
      <c r="K530"/>
    </row>
    <row r="531" spans="5:11">
      <c r="E531" s="1">
        <v>22</v>
      </c>
      <c r="F531" s="4">
        <f t="shared" si="62"/>
        <v>82</v>
      </c>
      <c r="G531" s="7" t="s">
        <v>755</v>
      </c>
      <c r="H531" s="5" t="s">
        <v>70</v>
      </c>
      <c r="I531"/>
      <c r="J531" s="1" t="s">
        <v>71</v>
      </c>
      <c r="K531"/>
    </row>
    <row r="532" spans="5:11">
      <c r="E532" s="1">
        <v>23</v>
      </c>
      <c r="F532" s="4">
        <f t="shared" si="62"/>
        <v>87</v>
      </c>
      <c r="G532" s="7" t="s">
        <v>756</v>
      </c>
      <c r="H532" s="5" t="s">
        <v>72</v>
      </c>
      <c r="I532"/>
      <c r="J532" s="1" t="s">
        <v>73</v>
      </c>
      <c r="K532"/>
    </row>
    <row r="533" spans="5:11">
      <c r="E533" s="1">
        <v>24</v>
      </c>
      <c r="F533" s="4">
        <f t="shared" si="62"/>
        <v>92</v>
      </c>
      <c r="G533" s="7" t="s">
        <v>757</v>
      </c>
      <c r="H533" s="5" t="s">
        <v>74</v>
      </c>
      <c r="I533"/>
      <c r="J533" s="1" t="s">
        <v>75</v>
      </c>
      <c r="K533"/>
    </row>
    <row r="534" spans="5:11">
      <c r="E534" s="1">
        <v>25</v>
      </c>
      <c r="F534" s="4">
        <f t="shared" si="62"/>
        <v>97</v>
      </c>
      <c r="G534" s="7" t="s">
        <v>758</v>
      </c>
      <c r="H534" s="5" t="s">
        <v>76</v>
      </c>
      <c r="I534"/>
      <c r="J534" s="1" t="s">
        <v>77</v>
      </c>
      <c r="K534"/>
    </row>
    <row r="535" spans="5:11">
      <c r="E535" s="1">
        <v>26</v>
      </c>
      <c r="F535" s="4">
        <f t="shared" si="62"/>
        <v>102</v>
      </c>
      <c r="G535" s="7" t="s">
        <v>759</v>
      </c>
      <c r="H535" s="5" t="s">
        <v>78</v>
      </c>
      <c r="I535"/>
      <c r="J535" s="1" t="s">
        <v>79</v>
      </c>
      <c r="K535"/>
    </row>
    <row r="536" spans="5:11">
      <c r="E536" s="1">
        <v>27</v>
      </c>
      <c r="F536" s="4">
        <f t="shared" si="62"/>
        <v>107</v>
      </c>
      <c r="G536" s="7" t="s">
        <v>760</v>
      </c>
      <c r="H536" s="5" t="s">
        <v>80</v>
      </c>
      <c r="I536"/>
      <c r="J536" s="1" t="s">
        <v>81</v>
      </c>
      <c r="K536"/>
    </row>
    <row r="537" spans="5:11">
      <c r="E537" s="1">
        <v>28</v>
      </c>
      <c r="F537" s="4">
        <f t="shared" si="62"/>
        <v>112</v>
      </c>
      <c r="G537" s="7" t="s">
        <v>761</v>
      </c>
      <c r="H537" s="5" t="s">
        <v>82</v>
      </c>
      <c r="I537"/>
      <c r="J537" s="1" t="s">
        <v>83</v>
      </c>
      <c r="K537"/>
    </row>
    <row r="538" spans="5:11">
      <c r="E538" s="1">
        <v>29</v>
      </c>
      <c r="F538" s="4">
        <f t="shared" si="62"/>
        <v>117</v>
      </c>
      <c r="G538" s="7" t="s">
        <v>762</v>
      </c>
      <c r="H538" s="5" t="s">
        <v>84</v>
      </c>
      <c r="I538"/>
      <c r="J538" s="1" t="s">
        <v>85</v>
      </c>
      <c r="K538"/>
    </row>
    <row r="539" spans="5:11">
      <c r="E539" s="1">
        <v>30</v>
      </c>
      <c r="F539" s="4">
        <f t="shared" si="62"/>
        <v>122</v>
      </c>
      <c r="G539" s="7" t="s">
        <v>763</v>
      </c>
      <c r="H539" s="5" t="s">
        <v>86</v>
      </c>
      <c r="I539" t="s">
        <v>764</v>
      </c>
      <c r="J539" s="1" t="s">
        <v>88</v>
      </c>
      <c r="K539" s="1" t="s">
        <v>765</v>
      </c>
    </row>
    <row r="540" spans="5:11">
      <c r="E540" s="1">
        <v>31</v>
      </c>
      <c r="F540" s="4">
        <f t="shared" ref="F540:F549" si="63">F539+6</f>
        <v>128</v>
      </c>
      <c r="G540" s="7" t="s">
        <v>766</v>
      </c>
      <c r="H540" s="5" t="s">
        <v>90</v>
      </c>
      <c r="I540"/>
      <c r="J540" s="1" t="s">
        <v>91</v>
      </c>
      <c r="K540"/>
    </row>
    <row r="541" spans="5:11">
      <c r="E541" s="1">
        <v>32</v>
      </c>
      <c r="F541" s="4">
        <f t="shared" si="63"/>
        <v>134</v>
      </c>
      <c r="G541" s="7" t="s">
        <v>767</v>
      </c>
      <c r="H541" s="5" t="s">
        <v>92</v>
      </c>
      <c r="I541"/>
      <c r="J541" s="1" t="s">
        <v>93</v>
      </c>
      <c r="K541"/>
    </row>
    <row r="542" spans="5:11">
      <c r="E542" s="1">
        <v>33</v>
      </c>
      <c r="F542" s="4">
        <f t="shared" si="63"/>
        <v>140</v>
      </c>
      <c r="G542" s="7" t="s">
        <v>768</v>
      </c>
      <c r="H542" s="5" t="s">
        <v>94</v>
      </c>
      <c r="I542"/>
      <c r="J542" s="1" t="s">
        <v>95</v>
      </c>
      <c r="K542"/>
    </row>
    <row r="543" spans="5:11">
      <c r="E543" s="1">
        <v>34</v>
      </c>
      <c r="F543" s="4">
        <f t="shared" si="63"/>
        <v>146</v>
      </c>
      <c r="G543" s="7" t="s">
        <v>769</v>
      </c>
      <c r="H543" s="5" t="s">
        <v>96</v>
      </c>
      <c r="I543"/>
      <c r="J543" s="1" t="s">
        <v>97</v>
      </c>
      <c r="K543"/>
    </row>
    <row r="544" spans="5:11">
      <c r="E544" s="1">
        <v>35</v>
      </c>
      <c r="F544" s="4">
        <f t="shared" si="63"/>
        <v>152</v>
      </c>
      <c r="G544" s="7" t="s">
        <v>770</v>
      </c>
      <c r="H544" s="5" t="s">
        <v>98</v>
      </c>
      <c r="I544"/>
      <c r="J544" s="1" t="s">
        <v>99</v>
      </c>
      <c r="K544"/>
    </row>
    <row r="545" spans="5:11">
      <c r="E545" s="1">
        <v>36</v>
      </c>
      <c r="F545" s="4">
        <f t="shared" si="63"/>
        <v>158</v>
      </c>
      <c r="G545" s="7" t="s">
        <v>771</v>
      </c>
      <c r="H545" s="5" t="s">
        <v>100</v>
      </c>
      <c r="I545"/>
      <c r="J545" s="1" t="s">
        <v>101</v>
      </c>
      <c r="K545"/>
    </row>
    <row r="546" spans="5:11">
      <c r="E546" s="1">
        <v>37</v>
      </c>
      <c r="F546" s="4">
        <f t="shared" si="63"/>
        <v>164</v>
      </c>
      <c r="G546" s="7" t="s">
        <v>772</v>
      </c>
      <c r="H546" s="5" t="s">
        <v>102</v>
      </c>
      <c r="I546"/>
      <c r="J546" s="1" t="s">
        <v>103</v>
      </c>
      <c r="K546"/>
    </row>
    <row r="547" spans="5:11">
      <c r="E547" s="1">
        <v>38</v>
      </c>
      <c r="F547" s="4">
        <f t="shared" si="63"/>
        <v>170</v>
      </c>
      <c r="G547" s="7" t="s">
        <v>773</v>
      </c>
      <c r="H547" s="5" t="s">
        <v>104</v>
      </c>
      <c r="I547"/>
      <c r="J547" s="1" t="s">
        <v>105</v>
      </c>
      <c r="K547"/>
    </row>
    <row r="548" spans="5:11">
      <c r="E548" s="1">
        <v>39</v>
      </c>
      <c r="F548" s="4">
        <f t="shared" si="63"/>
        <v>176</v>
      </c>
      <c r="G548" s="7" t="s">
        <v>774</v>
      </c>
      <c r="H548" s="5" t="s">
        <v>106</v>
      </c>
      <c r="I548"/>
      <c r="J548" s="1" t="s">
        <v>107</v>
      </c>
      <c r="K548"/>
    </row>
    <row r="549" spans="5:11">
      <c r="E549" s="1">
        <v>40</v>
      </c>
      <c r="F549" s="4">
        <f t="shared" si="63"/>
        <v>182</v>
      </c>
      <c r="G549" s="7" t="s">
        <v>775</v>
      </c>
      <c r="H549" s="5" t="s">
        <v>108</v>
      </c>
      <c r="I549" t="s">
        <v>776</v>
      </c>
      <c r="J549" s="1" t="s">
        <v>110</v>
      </c>
      <c r="K549" s="1" t="s">
        <v>777</v>
      </c>
    </row>
    <row r="550" spans="5:11">
      <c r="E550" s="1">
        <v>41</v>
      </c>
      <c r="F550" s="4">
        <f t="shared" ref="F550:F559" si="64">F549+7</f>
        <v>189</v>
      </c>
      <c r="G550" s="7" t="s">
        <v>778</v>
      </c>
      <c r="H550" s="5" t="s">
        <v>112</v>
      </c>
      <c r="I550"/>
      <c r="J550" s="1" t="s">
        <v>113</v>
      </c>
      <c r="K550"/>
    </row>
    <row r="551" spans="5:11">
      <c r="E551" s="1">
        <v>42</v>
      </c>
      <c r="F551" s="4">
        <f t="shared" si="64"/>
        <v>196</v>
      </c>
      <c r="G551" s="7" t="s">
        <v>779</v>
      </c>
      <c r="H551" s="5" t="s">
        <v>114</v>
      </c>
      <c r="I551"/>
      <c r="J551" s="1" t="s">
        <v>115</v>
      </c>
      <c r="K551"/>
    </row>
    <row r="552" spans="5:11">
      <c r="E552" s="1">
        <v>43</v>
      </c>
      <c r="F552" s="4">
        <f t="shared" si="64"/>
        <v>203</v>
      </c>
      <c r="G552" s="7" t="s">
        <v>780</v>
      </c>
      <c r="H552" s="5" t="s">
        <v>116</v>
      </c>
      <c r="I552"/>
      <c r="J552" s="1" t="s">
        <v>117</v>
      </c>
      <c r="K552"/>
    </row>
    <row r="553" spans="5:11">
      <c r="E553" s="1">
        <v>44</v>
      </c>
      <c r="F553" s="4">
        <f t="shared" si="64"/>
        <v>210</v>
      </c>
      <c r="G553" s="7" t="s">
        <v>781</v>
      </c>
      <c r="H553" s="5" t="s">
        <v>118</v>
      </c>
      <c r="I553"/>
      <c r="J553" s="1" t="s">
        <v>119</v>
      </c>
      <c r="K553"/>
    </row>
    <row r="554" spans="5:11">
      <c r="E554" s="1">
        <v>45</v>
      </c>
      <c r="F554" s="4">
        <f t="shared" si="64"/>
        <v>217</v>
      </c>
      <c r="G554" s="7" t="s">
        <v>782</v>
      </c>
      <c r="H554" s="5" t="s">
        <v>120</v>
      </c>
      <c r="I554"/>
      <c r="J554" s="1" t="s">
        <v>121</v>
      </c>
      <c r="K554"/>
    </row>
    <row r="555" spans="5:11">
      <c r="E555" s="1">
        <v>46</v>
      </c>
      <c r="F555" s="4">
        <f t="shared" si="64"/>
        <v>224</v>
      </c>
      <c r="G555" s="7" t="s">
        <v>783</v>
      </c>
      <c r="H555" s="5" t="s">
        <v>122</v>
      </c>
      <c r="I555"/>
      <c r="J555" s="1" t="s">
        <v>123</v>
      </c>
      <c r="K555"/>
    </row>
    <row r="556" spans="5:11">
      <c r="E556" s="1">
        <v>47</v>
      </c>
      <c r="F556" s="4">
        <f t="shared" si="64"/>
        <v>231</v>
      </c>
      <c r="G556" s="7" t="s">
        <v>784</v>
      </c>
      <c r="H556" s="5" t="s">
        <v>124</v>
      </c>
      <c r="I556"/>
      <c r="J556" s="1" t="s">
        <v>125</v>
      </c>
      <c r="K556"/>
    </row>
    <row r="557" spans="5:11">
      <c r="E557" s="1">
        <v>48</v>
      </c>
      <c r="F557" s="4">
        <f t="shared" si="64"/>
        <v>238</v>
      </c>
      <c r="G557" s="7" t="s">
        <v>785</v>
      </c>
      <c r="H557" s="5" t="s">
        <v>126</v>
      </c>
      <c r="I557"/>
      <c r="J557" s="1" t="s">
        <v>127</v>
      </c>
      <c r="K557"/>
    </row>
    <row r="558" spans="5:11">
      <c r="E558" s="1">
        <v>49</v>
      </c>
      <c r="F558" s="4">
        <f t="shared" si="64"/>
        <v>245</v>
      </c>
      <c r="G558" s="7" t="s">
        <v>786</v>
      </c>
      <c r="H558" s="5" t="s">
        <v>128</v>
      </c>
      <c r="I558"/>
      <c r="J558" s="1" t="s">
        <v>129</v>
      </c>
      <c r="K558"/>
    </row>
    <row r="559" spans="5:11">
      <c r="E559" s="1">
        <v>50</v>
      </c>
      <c r="F559" s="4">
        <f t="shared" si="64"/>
        <v>252</v>
      </c>
      <c r="G559" s="7" t="s">
        <v>787</v>
      </c>
      <c r="H559" s="5" t="s">
        <v>130</v>
      </c>
      <c r="I559" t="s">
        <v>788</v>
      </c>
      <c r="J559" s="1" t="s">
        <v>132</v>
      </c>
      <c r="K559" s="1" t="s">
        <v>789</v>
      </c>
    </row>
    <row r="560" spans="5:11">
      <c r="E560" s="1">
        <v>51</v>
      </c>
      <c r="F560" s="4">
        <f t="shared" ref="F560:F569" si="65">F559+8</f>
        <v>260</v>
      </c>
      <c r="G560" s="7" t="s">
        <v>790</v>
      </c>
      <c r="H560" s="5" t="s">
        <v>134</v>
      </c>
      <c r="I560"/>
      <c r="J560" s="1" t="s">
        <v>135</v>
      </c>
      <c r="K560"/>
    </row>
    <row r="561" spans="5:11">
      <c r="E561" s="1">
        <v>52</v>
      </c>
      <c r="F561" s="4">
        <f t="shared" si="65"/>
        <v>268</v>
      </c>
      <c r="G561" s="7" t="s">
        <v>791</v>
      </c>
      <c r="H561" s="5" t="s">
        <v>136</v>
      </c>
      <c r="I561"/>
      <c r="J561" s="1" t="s">
        <v>137</v>
      </c>
      <c r="K561"/>
    </row>
    <row r="562" spans="5:11">
      <c r="E562" s="1">
        <v>53</v>
      </c>
      <c r="F562" s="4">
        <f t="shared" si="65"/>
        <v>276</v>
      </c>
      <c r="G562" s="7" t="s">
        <v>792</v>
      </c>
      <c r="H562" s="5" t="s">
        <v>138</v>
      </c>
      <c r="I562"/>
      <c r="J562" s="1" t="s">
        <v>139</v>
      </c>
      <c r="K562"/>
    </row>
    <row r="563" spans="5:11">
      <c r="E563" s="1">
        <v>54</v>
      </c>
      <c r="F563" s="4">
        <f t="shared" si="65"/>
        <v>284</v>
      </c>
      <c r="G563" s="7" t="s">
        <v>793</v>
      </c>
      <c r="H563" s="5" t="s">
        <v>140</v>
      </c>
      <c r="I563"/>
      <c r="J563" s="1" t="s">
        <v>141</v>
      </c>
      <c r="K563"/>
    </row>
    <row r="564" spans="5:11">
      <c r="E564" s="1">
        <v>55</v>
      </c>
      <c r="F564" s="4">
        <f t="shared" si="65"/>
        <v>292</v>
      </c>
      <c r="G564" s="7" t="s">
        <v>794</v>
      </c>
      <c r="H564" s="5" t="s">
        <v>142</v>
      </c>
      <c r="I564"/>
      <c r="J564" s="1" t="s">
        <v>143</v>
      </c>
      <c r="K564"/>
    </row>
    <row r="565" spans="5:11">
      <c r="E565" s="1">
        <v>56</v>
      </c>
      <c r="F565" s="4">
        <f t="shared" si="65"/>
        <v>300</v>
      </c>
      <c r="G565" s="7" t="s">
        <v>795</v>
      </c>
      <c r="H565" s="5" t="s">
        <v>144</v>
      </c>
      <c r="I565"/>
      <c r="J565" s="1" t="s">
        <v>145</v>
      </c>
      <c r="K565"/>
    </row>
    <row r="566" spans="5:11">
      <c r="E566" s="1">
        <v>57</v>
      </c>
      <c r="F566" s="4">
        <f t="shared" si="65"/>
        <v>308</v>
      </c>
      <c r="G566" s="7" t="s">
        <v>796</v>
      </c>
      <c r="H566" s="5" t="s">
        <v>146</v>
      </c>
      <c r="I566"/>
      <c r="J566" s="1" t="s">
        <v>147</v>
      </c>
      <c r="K566"/>
    </row>
    <row r="567" spans="5:11">
      <c r="E567" s="1">
        <v>58</v>
      </c>
      <c r="F567" s="4">
        <f t="shared" si="65"/>
        <v>316</v>
      </c>
      <c r="G567" s="7" t="s">
        <v>797</v>
      </c>
      <c r="H567" s="5" t="s">
        <v>148</v>
      </c>
      <c r="I567"/>
      <c r="J567" s="1" t="s">
        <v>149</v>
      </c>
      <c r="K567"/>
    </row>
    <row r="568" spans="5:11">
      <c r="E568" s="1">
        <v>59</v>
      </c>
      <c r="F568" s="4">
        <f t="shared" si="65"/>
        <v>324</v>
      </c>
      <c r="G568" s="7" t="s">
        <v>798</v>
      </c>
      <c r="H568" s="5" t="s">
        <v>150</v>
      </c>
      <c r="I568"/>
      <c r="J568" s="1" t="s">
        <v>151</v>
      </c>
      <c r="K568"/>
    </row>
    <row r="569" spans="5:11">
      <c r="E569" s="1">
        <v>60</v>
      </c>
      <c r="F569" s="4">
        <f t="shared" si="65"/>
        <v>332</v>
      </c>
      <c r="G569" s="7" t="s">
        <v>799</v>
      </c>
      <c r="H569" s="5" t="s">
        <v>152</v>
      </c>
      <c r="I569" t="s">
        <v>800</v>
      </c>
      <c r="J569" s="1" t="s">
        <v>154</v>
      </c>
      <c r="K569" s="1" t="s">
        <v>801</v>
      </c>
    </row>
    <row r="570" spans="5:11">
      <c r="E570" s="1">
        <v>61</v>
      </c>
      <c r="F570" s="4">
        <f t="shared" ref="F570:F579" si="66">F569+9</f>
        <v>341</v>
      </c>
      <c r="G570" s="7" t="s">
        <v>802</v>
      </c>
      <c r="H570" s="5" t="s">
        <v>156</v>
      </c>
      <c r="I570"/>
      <c r="J570" s="1" t="s">
        <v>157</v>
      </c>
      <c r="K570"/>
    </row>
    <row r="571" spans="5:11">
      <c r="E571" s="1">
        <v>62</v>
      </c>
      <c r="F571" s="4">
        <f t="shared" si="66"/>
        <v>350</v>
      </c>
      <c r="G571" s="7" t="s">
        <v>803</v>
      </c>
      <c r="H571" s="5" t="s">
        <v>158</v>
      </c>
      <c r="I571"/>
      <c r="J571" s="1" t="s">
        <v>159</v>
      </c>
      <c r="K571"/>
    </row>
    <row r="572" spans="5:11">
      <c r="E572" s="1">
        <v>63</v>
      </c>
      <c r="F572" s="4">
        <f t="shared" si="66"/>
        <v>359</v>
      </c>
      <c r="G572" s="7" t="s">
        <v>804</v>
      </c>
      <c r="H572" s="5" t="s">
        <v>160</v>
      </c>
      <c r="I572"/>
      <c r="J572" s="1" t="s">
        <v>161</v>
      </c>
      <c r="K572"/>
    </row>
    <row r="573" spans="5:11">
      <c r="E573" s="1">
        <v>64</v>
      </c>
      <c r="F573" s="4">
        <f t="shared" si="66"/>
        <v>368</v>
      </c>
      <c r="G573" s="7" t="s">
        <v>805</v>
      </c>
      <c r="H573" s="5" t="s">
        <v>162</v>
      </c>
      <c r="I573"/>
      <c r="J573" s="1" t="s">
        <v>163</v>
      </c>
      <c r="K573"/>
    </row>
    <row r="574" spans="5:11">
      <c r="E574" s="1">
        <v>65</v>
      </c>
      <c r="F574" s="4">
        <f t="shared" si="66"/>
        <v>377</v>
      </c>
      <c r="G574" s="7" t="s">
        <v>806</v>
      </c>
      <c r="H574" s="5" t="s">
        <v>164</v>
      </c>
      <c r="I574"/>
      <c r="J574" s="1" t="s">
        <v>165</v>
      </c>
      <c r="K574"/>
    </row>
    <row r="575" spans="5:11">
      <c r="E575" s="1">
        <v>66</v>
      </c>
      <c r="F575" s="4">
        <f t="shared" si="66"/>
        <v>386</v>
      </c>
      <c r="G575" s="7" t="s">
        <v>807</v>
      </c>
      <c r="H575" s="5" t="s">
        <v>166</v>
      </c>
      <c r="I575"/>
      <c r="J575" s="1" t="s">
        <v>167</v>
      </c>
      <c r="K575"/>
    </row>
    <row r="576" spans="5:11">
      <c r="E576" s="1">
        <v>67</v>
      </c>
      <c r="F576" s="4">
        <f t="shared" si="66"/>
        <v>395</v>
      </c>
      <c r="G576" s="7" t="s">
        <v>808</v>
      </c>
      <c r="H576" s="5" t="s">
        <v>168</v>
      </c>
      <c r="I576"/>
      <c r="J576" s="1" t="s">
        <v>169</v>
      </c>
      <c r="K576"/>
    </row>
    <row r="577" spans="5:11">
      <c r="E577" s="1">
        <v>68</v>
      </c>
      <c r="F577" s="4">
        <f t="shared" si="66"/>
        <v>404</v>
      </c>
      <c r="G577" s="7" t="s">
        <v>809</v>
      </c>
      <c r="H577" s="5" t="s">
        <v>170</v>
      </c>
      <c r="I577"/>
      <c r="J577" s="1" t="s">
        <v>171</v>
      </c>
      <c r="K577"/>
    </row>
    <row r="578" spans="5:11">
      <c r="E578" s="1">
        <v>69</v>
      </c>
      <c r="F578" s="4">
        <f t="shared" si="66"/>
        <v>413</v>
      </c>
      <c r="G578" s="7" t="s">
        <v>810</v>
      </c>
      <c r="H578" s="5" t="s">
        <v>172</v>
      </c>
      <c r="I578"/>
      <c r="J578" s="1" t="s">
        <v>173</v>
      </c>
      <c r="K578"/>
    </row>
    <row r="579" spans="5:11">
      <c r="E579" s="1">
        <v>70</v>
      </c>
      <c r="F579" s="4">
        <f t="shared" si="66"/>
        <v>422</v>
      </c>
      <c r="G579" s="7" t="s">
        <v>811</v>
      </c>
      <c r="H579" s="5" t="s">
        <v>174</v>
      </c>
      <c r="I579" t="s">
        <v>812</v>
      </c>
      <c r="J579" s="1" t="s">
        <v>176</v>
      </c>
      <c r="K579" s="1" t="s">
        <v>813</v>
      </c>
    </row>
    <row r="580" spans="5:11">
      <c r="E580" s="1">
        <v>71</v>
      </c>
      <c r="F580" s="4">
        <f t="shared" ref="F580:F589" si="67">F579+10</f>
        <v>432</v>
      </c>
      <c r="G580" s="7" t="s">
        <v>814</v>
      </c>
      <c r="H580" s="5" t="s">
        <v>178</v>
      </c>
      <c r="I580"/>
      <c r="J580" s="1" t="s">
        <v>179</v>
      </c>
      <c r="K580"/>
    </row>
    <row r="581" spans="5:11">
      <c r="E581" s="1">
        <v>72</v>
      </c>
      <c r="F581" s="4">
        <f t="shared" si="67"/>
        <v>442</v>
      </c>
      <c r="G581" s="7" t="s">
        <v>815</v>
      </c>
      <c r="H581" s="5" t="s">
        <v>180</v>
      </c>
      <c r="I581"/>
      <c r="J581" s="1" t="s">
        <v>181</v>
      </c>
      <c r="K581"/>
    </row>
    <row r="582" spans="5:11">
      <c r="E582" s="1">
        <v>73</v>
      </c>
      <c r="F582" s="4">
        <f t="shared" si="67"/>
        <v>452</v>
      </c>
      <c r="G582" s="7" t="s">
        <v>816</v>
      </c>
      <c r="H582" s="5" t="s">
        <v>182</v>
      </c>
      <c r="I582"/>
      <c r="J582" s="1" t="s">
        <v>183</v>
      </c>
      <c r="K582"/>
    </row>
    <row r="583" spans="5:11">
      <c r="E583" s="1">
        <v>74</v>
      </c>
      <c r="F583" s="4">
        <f t="shared" si="67"/>
        <v>462</v>
      </c>
      <c r="G583" s="7" t="s">
        <v>817</v>
      </c>
      <c r="H583" s="5" t="s">
        <v>184</v>
      </c>
      <c r="I583"/>
      <c r="J583" s="1" t="s">
        <v>185</v>
      </c>
      <c r="K583"/>
    </row>
    <row r="584" spans="5:11">
      <c r="E584" s="1">
        <v>75</v>
      </c>
      <c r="F584" s="4">
        <f t="shared" si="67"/>
        <v>472</v>
      </c>
      <c r="G584" s="7" t="s">
        <v>818</v>
      </c>
      <c r="H584" s="5" t="s">
        <v>186</v>
      </c>
      <c r="I584"/>
      <c r="J584" s="1" t="s">
        <v>187</v>
      </c>
      <c r="K584"/>
    </row>
    <row r="585" spans="5:11">
      <c r="E585" s="1">
        <v>76</v>
      </c>
      <c r="F585" s="4">
        <f t="shared" si="67"/>
        <v>482</v>
      </c>
      <c r="G585" s="7" t="s">
        <v>819</v>
      </c>
      <c r="H585" s="5" t="s">
        <v>188</v>
      </c>
      <c r="I585"/>
      <c r="J585" s="1" t="s">
        <v>189</v>
      </c>
      <c r="K585"/>
    </row>
    <row r="586" spans="5:11">
      <c r="E586" s="1">
        <v>77</v>
      </c>
      <c r="F586" s="4">
        <f t="shared" si="67"/>
        <v>492</v>
      </c>
      <c r="G586" s="7" t="s">
        <v>820</v>
      </c>
      <c r="H586" s="5" t="s">
        <v>190</v>
      </c>
      <c r="I586"/>
      <c r="J586" s="1" t="s">
        <v>191</v>
      </c>
      <c r="K586"/>
    </row>
    <row r="587" spans="5:11">
      <c r="E587" s="1">
        <v>78</v>
      </c>
      <c r="F587" s="4">
        <f t="shared" si="67"/>
        <v>502</v>
      </c>
      <c r="G587" s="7" t="s">
        <v>821</v>
      </c>
      <c r="H587" s="5" t="s">
        <v>192</v>
      </c>
      <c r="I587"/>
      <c r="J587" s="1" t="s">
        <v>193</v>
      </c>
      <c r="K587"/>
    </row>
    <row r="588" spans="5:11">
      <c r="E588" s="1">
        <v>79</v>
      </c>
      <c r="F588" s="4">
        <f t="shared" si="67"/>
        <v>512</v>
      </c>
      <c r="G588" s="7" t="s">
        <v>822</v>
      </c>
      <c r="H588" s="5" t="s">
        <v>194</v>
      </c>
      <c r="I588"/>
      <c r="J588" s="1" t="s">
        <v>195</v>
      </c>
      <c r="K588"/>
    </row>
    <row r="589" spans="5:11">
      <c r="E589" s="1">
        <v>80</v>
      </c>
      <c r="F589" s="4">
        <f t="shared" si="67"/>
        <v>522</v>
      </c>
      <c r="G589" s="7" t="s">
        <v>823</v>
      </c>
      <c r="H589" s="5" t="s">
        <v>196</v>
      </c>
      <c r="I589" t="s">
        <v>824</v>
      </c>
      <c r="J589" s="1" t="s">
        <v>198</v>
      </c>
      <c r="K589" s="1" t="s">
        <v>825</v>
      </c>
    </row>
    <row r="590" spans="5:11">
      <c r="E590" s="1">
        <v>81</v>
      </c>
      <c r="F590" s="4">
        <f t="shared" ref="F590:F599" si="68">F589+11</f>
        <v>533</v>
      </c>
      <c r="G590" s="7" t="s">
        <v>826</v>
      </c>
      <c r="H590" s="5" t="s">
        <v>200</v>
      </c>
      <c r="I590"/>
      <c r="J590" s="1" t="s">
        <v>201</v>
      </c>
      <c r="K590"/>
    </row>
    <row r="591" spans="5:11">
      <c r="E591" s="1">
        <v>82</v>
      </c>
      <c r="F591" s="4">
        <f t="shared" si="68"/>
        <v>544</v>
      </c>
      <c r="G591" s="7" t="s">
        <v>827</v>
      </c>
      <c r="H591" s="5" t="s">
        <v>202</v>
      </c>
      <c r="I591"/>
      <c r="J591" s="1" t="s">
        <v>203</v>
      </c>
      <c r="K591"/>
    </row>
    <row r="592" spans="5:11">
      <c r="E592" s="1">
        <v>83</v>
      </c>
      <c r="F592" s="4">
        <f t="shared" si="68"/>
        <v>555</v>
      </c>
      <c r="G592" s="7" t="s">
        <v>828</v>
      </c>
      <c r="H592" s="5" t="s">
        <v>204</v>
      </c>
      <c r="I592"/>
      <c r="J592" s="1" t="s">
        <v>205</v>
      </c>
      <c r="K592"/>
    </row>
    <row r="593" spans="5:11">
      <c r="E593" s="1">
        <v>84</v>
      </c>
      <c r="F593" s="4">
        <f t="shared" si="68"/>
        <v>566</v>
      </c>
      <c r="G593" s="7" t="s">
        <v>829</v>
      </c>
      <c r="H593" s="5" t="s">
        <v>206</v>
      </c>
      <c r="I593"/>
      <c r="J593" s="1" t="s">
        <v>207</v>
      </c>
      <c r="K593"/>
    </row>
    <row r="594" spans="5:11">
      <c r="E594" s="1">
        <v>85</v>
      </c>
      <c r="F594" s="4">
        <f t="shared" si="68"/>
        <v>577</v>
      </c>
      <c r="G594" s="7" t="s">
        <v>830</v>
      </c>
      <c r="H594" s="5" t="s">
        <v>208</v>
      </c>
      <c r="I594"/>
      <c r="J594" s="1" t="s">
        <v>209</v>
      </c>
      <c r="K594"/>
    </row>
    <row r="595" spans="5:11">
      <c r="E595" s="1">
        <v>86</v>
      </c>
      <c r="F595" s="4">
        <f t="shared" si="68"/>
        <v>588</v>
      </c>
      <c r="G595" s="7" t="s">
        <v>831</v>
      </c>
      <c r="H595" s="5" t="s">
        <v>210</v>
      </c>
      <c r="I595"/>
      <c r="J595" s="1" t="s">
        <v>211</v>
      </c>
      <c r="K595"/>
    </row>
    <row r="596" spans="5:11">
      <c r="E596" s="1">
        <v>87</v>
      </c>
      <c r="F596" s="4">
        <f t="shared" si="68"/>
        <v>599</v>
      </c>
      <c r="G596" s="7" t="s">
        <v>832</v>
      </c>
      <c r="H596" s="5" t="s">
        <v>212</v>
      </c>
      <c r="I596"/>
      <c r="J596" s="1" t="s">
        <v>213</v>
      </c>
      <c r="K596"/>
    </row>
    <row r="597" spans="5:11">
      <c r="E597" s="1">
        <v>88</v>
      </c>
      <c r="F597" s="4">
        <f t="shared" si="68"/>
        <v>610</v>
      </c>
      <c r="G597" s="7" t="s">
        <v>833</v>
      </c>
      <c r="H597" s="5" t="s">
        <v>214</v>
      </c>
      <c r="I597"/>
      <c r="J597" s="1" t="s">
        <v>215</v>
      </c>
      <c r="K597"/>
    </row>
    <row r="598" spans="5:11">
      <c r="E598" s="1">
        <v>89</v>
      </c>
      <c r="F598" s="4">
        <f t="shared" si="68"/>
        <v>621</v>
      </c>
      <c r="G598" s="7" t="s">
        <v>834</v>
      </c>
      <c r="H598" s="5" t="s">
        <v>216</v>
      </c>
      <c r="I598"/>
      <c r="J598" s="1" t="s">
        <v>217</v>
      </c>
      <c r="K598"/>
    </row>
    <row r="599" spans="5:11">
      <c r="E599" s="1">
        <v>90</v>
      </c>
      <c r="F599" s="4">
        <f t="shared" si="68"/>
        <v>632</v>
      </c>
      <c r="G599" s="7" t="s">
        <v>835</v>
      </c>
      <c r="H599" s="5" t="s">
        <v>218</v>
      </c>
      <c r="I599" t="s">
        <v>836</v>
      </c>
      <c r="J599" s="1" t="s">
        <v>220</v>
      </c>
      <c r="K599" s="1" t="s">
        <v>837</v>
      </c>
    </row>
    <row r="600" spans="5:11">
      <c r="E600" s="1">
        <v>91</v>
      </c>
      <c r="F600" s="4">
        <f t="shared" ref="F600:F609" si="69">F599+12</f>
        <v>644</v>
      </c>
      <c r="G600" s="7" t="s">
        <v>838</v>
      </c>
      <c r="H600" s="5" t="s">
        <v>222</v>
      </c>
      <c r="I600"/>
      <c r="J600" s="1" t="s">
        <v>223</v>
      </c>
      <c r="K600"/>
    </row>
    <row r="601" spans="5:11">
      <c r="E601" s="1">
        <v>92</v>
      </c>
      <c r="F601" s="4">
        <f t="shared" si="69"/>
        <v>656</v>
      </c>
      <c r="G601" s="7" t="s">
        <v>839</v>
      </c>
      <c r="H601" s="5" t="s">
        <v>224</v>
      </c>
      <c r="I601"/>
      <c r="J601" s="1" t="s">
        <v>225</v>
      </c>
      <c r="K601"/>
    </row>
    <row r="602" spans="5:11">
      <c r="E602" s="1">
        <v>93</v>
      </c>
      <c r="F602" s="4">
        <f t="shared" si="69"/>
        <v>668</v>
      </c>
      <c r="G602" s="7" t="s">
        <v>840</v>
      </c>
      <c r="H602" s="5" t="s">
        <v>226</v>
      </c>
      <c r="I602"/>
      <c r="J602" s="1" t="s">
        <v>227</v>
      </c>
      <c r="K602"/>
    </row>
    <row r="603" spans="5:11">
      <c r="E603" s="1">
        <v>94</v>
      </c>
      <c r="F603" s="4">
        <f t="shared" si="69"/>
        <v>680</v>
      </c>
      <c r="G603" s="7" t="s">
        <v>841</v>
      </c>
      <c r="H603" s="5" t="s">
        <v>228</v>
      </c>
      <c r="I603"/>
      <c r="J603" s="1" t="s">
        <v>229</v>
      </c>
      <c r="K603"/>
    </row>
    <row r="604" spans="5:11">
      <c r="E604" s="1">
        <v>95</v>
      </c>
      <c r="F604" s="4">
        <f t="shared" si="69"/>
        <v>692</v>
      </c>
      <c r="G604" s="7" t="s">
        <v>842</v>
      </c>
      <c r="H604" s="5" t="s">
        <v>230</v>
      </c>
      <c r="I604"/>
      <c r="J604" s="1" t="s">
        <v>231</v>
      </c>
      <c r="K604"/>
    </row>
    <row r="605" spans="5:11">
      <c r="E605" s="1">
        <v>96</v>
      </c>
      <c r="F605" s="4">
        <f t="shared" si="69"/>
        <v>704</v>
      </c>
      <c r="G605" s="7" t="s">
        <v>843</v>
      </c>
      <c r="H605" s="5" t="s">
        <v>232</v>
      </c>
      <c r="I605"/>
      <c r="J605" s="1" t="s">
        <v>233</v>
      </c>
      <c r="K605"/>
    </row>
    <row r="606" spans="5:11">
      <c r="E606" s="1">
        <v>97</v>
      </c>
      <c r="F606" s="4">
        <f t="shared" si="69"/>
        <v>716</v>
      </c>
      <c r="G606" s="7" t="s">
        <v>844</v>
      </c>
      <c r="H606" s="5" t="s">
        <v>234</v>
      </c>
      <c r="I606"/>
      <c r="J606" s="1" t="s">
        <v>235</v>
      </c>
      <c r="K606"/>
    </row>
    <row r="607" spans="5:11">
      <c r="E607" s="1">
        <v>98</v>
      </c>
      <c r="F607" s="4">
        <f t="shared" si="69"/>
        <v>728</v>
      </c>
      <c r="G607" s="7" t="s">
        <v>845</v>
      </c>
      <c r="H607" s="5" t="s">
        <v>236</v>
      </c>
      <c r="I607"/>
      <c r="J607" s="1" t="s">
        <v>237</v>
      </c>
      <c r="K607"/>
    </row>
    <row r="608" spans="5:11">
      <c r="E608" s="1">
        <v>99</v>
      </c>
      <c r="F608" s="4">
        <f t="shared" si="69"/>
        <v>740</v>
      </c>
      <c r="G608" s="7" t="s">
        <v>846</v>
      </c>
      <c r="H608" s="5" t="s">
        <v>238</v>
      </c>
      <c r="I608"/>
      <c r="J608" s="1" t="s">
        <v>239</v>
      </c>
      <c r="K608"/>
    </row>
    <row r="609" spans="5:11">
      <c r="E609" s="1">
        <v>100</v>
      </c>
      <c r="F609" s="4">
        <f t="shared" si="69"/>
        <v>752</v>
      </c>
      <c r="G609" s="7"/>
      <c r="H609" s="5" t="s">
        <v>240</v>
      </c>
      <c r="I609" t="s">
        <v>847</v>
      </c>
      <c r="J609" s="1" t="s">
        <v>242</v>
      </c>
      <c r="K609" s="1" t="s">
        <v>848</v>
      </c>
    </row>
    <row r="610" spans="5:11">
      <c r="F610" s="1"/>
    </row>
    <row r="611" spans="5:11">
      <c r="F611" s="1"/>
    </row>
    <row r="612" spans="5:11">
      <c r="F612" s="1"/>
    </row>
    <row r="613" spans="5:11">
      <c r="F613" s="1"/>
    </row>
    <row r="614" spans="5:11">
      <c r="F614" s="1"/>
    </row>
    <row r="615" spans="5:11">
      <c r="F615" s="1"/>
    </row>
    <row r="616" spans="5:11">
      <c r="F616" s="1"/>
    </row>
    <row r="617" spans="5:11">
      <c r="F617" s="1"/>
    </row>
    <row r="618" spans="5:11">
      <c r="F618" s="1"/>
    </row>
    <row r="619" spans="5:11">
      <c r="F619" s="1"/>
    </row>
    <row r="620" spans="5:11">
      <c r="F620" s="1"/>
    </row>
    <row r="621" spans="5:11">
      <c r="F621" s="1"/>
    </row>
    <row r="622" spans="5:11">
      <c r="F622" s="1"/>
    </row>
    <row r="623" spans="5:11">
      <c r="F623" s="1"/>
    </row>
    <row r="624" spans="5:11">
      <c r="F624" s="1"/>
    </row>
    <row r="625" spans="6:6">
      <c r="F625" s="1"/>
    </row>
    <row r="626" spans="6:6">
      <c r="F626" s="1"/>
    </row>
    <row r="627" spans="6:6">
      <c r="F627" s="1"/>
    </row>
    <row r="628" spans="6:6">
      <c r="F628" s="1"/>
    </row>
    <row r="629" spans="6:6">
      <c r="F629" s="1"/>
    </row>
    <row r="630" spans="6:6">
      <c r="F630" s="1"/>
    </row>
    <row r="631" spans="6:6">
      <c r="F631" s="1"/>
    </row>
    <row r="632" spans="6:6">
      <c r="F632" s="1"/>
    </row>
    <row r="633" spans="6:6">
      <c r="F633" s="1"/>
    </row>
    <row r="634" spans="6:6">
      <c r="F634" s="1"/>
    </row>
    <row r="635" spans="6:6">
      <c r="F635" s="1"/>
    </row>
    <row r="636" spans="6:6">
      <c r="F636" s="1"/>
    </row>
    <row r="637" spans="6:6">
      <c r="F637" s="1"/>
    </row>
    <row r="638" spans="6:6">
      <c r="F638" s="1"/>
    </row>
    <row r="639" spans="6:6">
      <c r="F639" s="1"/>
    </row>
    <row r="640" spans="6:6">
      <c r="F640" s="1"/>
    </row>
    <row r="641" spans="6:6">
      <c r="F641" s="1"/>
    </row>
    <row r="642" spans="6:6">
      <c r="F642" s="1"/>
    </row>
    <row r="643" spans="6:6">
      <c r="F643" s="1"/>
    </row>
    <row r="644" spans="6:6">
      <c r="F644" s="1"/>
    </row>
    <row r="645" spans="6:6">
      <c r="F645" s="1"/>
    </row>
    <row r="646" spans="6:6">
      <c r="F646" s="1"/>
    </row>
    <row r="647" spans="6:6">
      <c r="F647" s="1"/>
    </row>
    <row r="648" spans="6:6">
      <c r="F648" s="1"/>
    </row>
    <row r="649" spans="6:6">
      <c r="F649" s="1"/>
    </row>
    <row r="650" spans="6:6">
      <c r="F650" s="1"/>
    </row>
    <row r="651" spans="6:6">
      <c r="F651" s="1"/>
    </row>
    <row r="652" spans="6:6">
      <c r="F652" s="1"/>
    </row>
    <row r="653" spans="6:6">
      <c r="F653" s="1"/>
    </row>
    <row r="654" spans="6:6">
      <c r="F654" s="1"/>
    </row>
    <row r="655" spans="6:6">
      <c r="F655" s="1"/>
    </row>
    <row r="656" spans="6:6">
      <c r="F656" s="1"/>
    </row>
    <row r="657" spans="6:6">
      <c r="F657" s="1"/>
    </row>
    <row r="658" spans="6:6">
      <c r="F658" s="1"/>
    </row>
    <row r="659" spans="6:6">
      <c r="F659" s="1"/>
    </row>
    <row r="660" spans="6:6">
      <c r="F660" s="1"/>
    </row>
    <row r="661" spans="6:6">
      <c r="F661" s="1"/>
    </row>
    <row r="662" spans="6:6">
      <c r="F662" s="1"/>
    </row>
    <row r="663" spans="6:6">
      <c r="F663" s="1"/>
    </row>
    <row r="664" spans="6:6">
      <c r="F664" s="1"/>
    </row>
    <row r="665" spans="6:6">
      <c r="F665" s="1"/>
    </row>
    <row r="666" spans="6:6">
      <c r="F666" s="1"/>
    </row>
    <row r="667" spans="6:6">
      <c r="F667" s="1"/>
    </row>
    <row r="668" spans="6:6">
      <c r="F668" s="1"/>
    </row>
    <row r="669" spans="6:6">
      <c r="F669" s="1"/>
    </row>
    <row r="670" spans="6:6">
      <c r="F670" s="1"/>
    </row>
    <row r="671" spans="6:6">
      <c r="F671" s="1"/>
    </row>
    <row r="672" spans="6:6">
      <c r="F672" s="1"/>
    </row>
    <row r="673" spans="6:6">
      <c r="F673" s="1"/>
    </row>
    <row r="674" spans="6:6">
      <c r="F674" s="1"/>
    </row>
    <row r="675" spans="6:6">
      <c r="F675" s="1"/>
    </row>
    <row r="676" spans="6:6">
      <c r="F676" s="1"/>
    </row>
    <row r="677" spans="6:6">
      <c r="F677" s="1"/>
    </row>
    <row r="678" spans="6:6">
      <c r="F678" s="1"/>
    </row>
    <row r="679" spans="6:6">
      <c r="F679" s="1"/>
    </row>
    <row r="680" spans="6:6">
      <c r="F680" s="1"/>
    </row>
    <row r="681" spans="6:6">
      <c r="F681" s="1"/>
    </row>
    <row r="682" spans="6:6">
      <c r="F682" s="1"/>
    </row>
    <row r="683" spans="6:6">
      <c r="F683" s="1"/>
    </row>
    <row r="684" spans="6:6">
      <c r="F684" s="1"/>
    </row>
    <row r="685" spans="6:6">
      <c r="F685" s="1"/>
    </row>
    <row r="686" spans="6:6">
      <c r="F686" s="1"/>
    </row>
    <row r="687" spans="6:6">
      <c r="F687" s="1"/>
    </row>
    <row r="688" spans="6:6">
      <c r="F688" s="1"/>
    </row>
    <row r="689" spans="6:6">
      <c r="F689" s="1"/>
    </row>
    <row r="690" spans="6:6">
      <c r="F690" s="1"/>
    </row>
    <row r="691" spans="6:6">
      <c r="F691" s="1"/>
    </row>
    <row r="692" spans="6:6">
      <c r="F692" s="1"/>
    </row>
    <row r="693" spans="6:6">
      <c r="F693" s="1"/>
    </row>
    <row r="694" spans="6:6">
      <c r="F694" s="1"/>
    </row>
    <row r="695" spans="6:6">
      <c r="F695" s="1"/>
    </row>
    <row r="696" spans="6:6">
      <c r="F696" s="1"/>
    </row>
    <row r="697" spans="6:6">
      <c r="F697" s="1"/>
    </row>
    <row r="698" spans="6:6">
      <c r="F698" s="1"/>
    </row>
    <row r="699" spans="6:6">
      <c r="F699" s="1"/>
    </row>
    <row r="700" spans="6:6">
      <c r="F700" s="1"/>
    </row>
    <row r="701" spans="6:6">
      <c r="F701" s="1"/>
    </row>
    <row r="702" spans="6:6">
      <c r="F702" s="1"/>
    </row>
    <row r="703" spans="6:6">
      <c r="F703" s="1"/>
    </row>
    <row r="704" spans="6:6">
      <c r="F704" s="1"/>
    </row>
    <row r="705" spans="6:6">
      <c r="F705" s="1"/>
    </row>
    <row r="706" spans="6:6">
      <c r="F706" s="1"/>
    </row>
    <row r="707" spans="6:6">
      <c r="F707" s="1"/>
    </row>
    <row r="708" spans="6:6">
      <c r="F708" s="1"/>
    </row>
    <row r="709" spans="6:6">
      <c r="F709" s="1"/>
    </row>
    <row r="710" spans="6:6">
      <c r="F710" s="1"/>
    </row>
    <row r="711" spans="6:6">
      <c r="F711" s="1"/>
    </row>
    <row r="712" spans="6:6">
      <c r="F712" s="1"/>
    </row>
    <row r="713" spans="6:6">
      <c r="F713" s="1"/>
    </row>
    <row r="714" spans="6:6">
      <c r="F714" s="1"/>
    </row>
    <row r="715" spans="6:6">
      <c r="F715" s="1"/>
    </row>
    <row r="716" spans="6:6">
      <c r="F716" s="1"/>
    </row>
    <row r="717" spans="6:6">
      <c r="F717" s="1"/>
    </row>
    <row r="718" spans="6:6">
      <c r="F718" s="1"/>
    </row>
    <row r="719" spans="6:6">
      <c r="F719" s="1"/>
    </row>
    <row r="720" spans="6:6">
      <c r="F720" s="1"/>
    </row>
    <row r="721" spans="6:6">
      <c r="F721" s="1"/>
    </row>
    <row r="722" spans="6:6">
      <c r="F722" s="1"/>
    </row>
    <row r="723" spans="6:6">
      <c r="F723" s="1"/>
    </row>
    <row r="724" spans="6:6">
      <c r="F724" s="1"/>
    </row>
    <row r="725" spans="6:6">
      <c r="F725" s="1"/>
    </row>
    <row r="726" spans="6:6">
      <c r="F726" s="1"/>
    </row>
    <row r="727" spans="6:6">
      <c r="F727" s="1"/>
    </row>
    <row r="728" spans="6:6">
      <c r="F728" s="1"/>
    </row>
    <row r="729" spans="6:6">
      <c r="F729" s="1"/>
    </row>
    <row r="730" spans="6:6">
      <c r="F730" s="1"/>
    </row>
    <row r="731" spans="6:6">
      <c r="F731" s="1"/>
    </row>
    <row r="732" spans="6:6">
      <c r="F732" s="1"/>
    </row>
    <row r="733" spans="6:6">
      <c r="F733" s="1"/>
    </row>
    <row r="734" spans="6:6">
      <c r="F734" s="1"/>
    </row>
    <row r="735" spans="6:6">
      <c r="F735" s="1"/>
    </row>
    <row r="736" spans="6:6">
      <c r="F736" s="1"/>
    </row>
    <row r="737" spans="6:6">
      <c r="F737" s="1"/>
    </row>
    <row r="738" spans="6:6">
      <c r="F738" s="1"/>
    </row>
    <row r="739" spans="6:6">
      <c r="F739" s="1"/>
    </row>
    <row r="740" spans="6:6">
      <c r="F740" s="1"/>
    </row>
    <row r="741" spans="6:6">
      <c r="F741" s="1"/>
    </row>
    <row r="742" spans="6:6">
      <c r="F742" s="1"/>
    </row>
    <row r="743" spans="6:6">
      <c r="F743" s="1"/>
    </row>
    <row r="744" spans="6:6">
      <c r="F744" s="1"/>
    </row>
    <row r="745" spans="6:6">
      <c r="F745" s="1"/>
    </row>
    <row r="746" spans="6:6">
      <c r="F746" s="1"/>
    </row>
    <row r="747" spans="6:6">
      <c r="F747" s="1"/>
    </row>
    <row r="748" spans="6:6">
      <c r="F748" s="1"/>
    </row>
    <row r="749" spans="6:6">
      <c r="F749" s="1"/>
    </row>
    <row r="750" spans="6:6">
      <c r="F750" s="1"/>
    </row>
    <row r="751" spans="6:6">
      <c r="F751" s="1"/>
    </row>
    <row r="752" spans="6:6">
      <c r="F752" s="1"/>
    </row>
    <row r="753" spans="6:6">
      <c r="F753" s="1"/>
    </row>
    <row r="754" spans="6:6">
      <c r="F754" s="1"/>
    </row>
    <row r="755" spans="6:6">
      <c r="F755" s="1"/>
    </row>
    <row r="756" spans="6:6">
      <c r="F756" s="1"/>
    </row>
    <row r="757" spans="6:6">
      <c r="F757" s="1"/>
    </row>
    <row r="758" spans="6:6">
      <c r="F758" s="1"/>
    </row>
    <row r="759" spans="6:6">
      <c r="F759" s="1"/>
    </row>
    <row r="760" spans="6:6">
      <c r="F760" s="1"/>
    </row>
    <row r="761" spans="6:6">
      <c r="F761" s="1"/>
    </row>
    <row r="762" spans="6:6">
      <c r="F762" s="1"/>
    </row>
    <row r="763" spans="6:6">
      <c r="F763" s="1"/>
    </row>
    <row r="764" spans="6:6">
      <c r="F764" s="1"/>
    </row>
    <row r="765" spans="6:6">
      <c r="F765" s="1"/>
    </row>
    <row r="766" spans="6:6">
      <c r="F766" s="1"/>
    </row>
    <row r="767" spans="6:6">
      <c r="F767" s="1"/>
    </row>
    <row r="768" spans="6:6">
      <c r="F768" s="1"/>
    </row>
    <row r="769" spans="6:6">
      <c r="F769" s="1"/>
    </row>
    <row r="770" spans="6:6">
      <c r="F770" s="1"/>
    </row>
    <row r="771" spans="6:6">
      <c r="F771" s="1"/>
    </row>
    <row r="772" spans="6:6">
      <c r="F772" s="1"/>
    </row>
    <row r="773" spans="6:6">
      <c r="F773" s="1"/>
    </row>
    <row r="774" spans="6:6">
      <c r="F774" s="1"/>
    </row>
    <row r="775" spans="6:6">
      <c r="F775" s="1"/>
    </row>
    <row r="776" spans="6:6">
      <c r="F776" s="1"/>
    </row>
    <row r="777" spans="6:6">
      <c r="F777" s="1"/>
    </row>
    <row r="778" spans="6:6">
      <c r="F778" s="1"/>
    </row>
    <row r="779" spans="6:6">
      <c r="F779" s="1"/>
    </row>
    <row r="780" spans="6:6">
      <c r="F780" s="1"/>
    </row>
    <row r="781" spans="6:6">
      <c r="F781" s="1"/>
    </row>
    <row r="782" spans="6:6">
      <c r="F782" s="1"/>
    </row>
    <row r="783" spans="6:6">
      <c r="F783" s="1"/>
    </row>
    <row r="784" spans="6:6">
      <c r="F784" s="1"/>
    </row>
    <row r="785" spans="6:6">
      <c r="F785" s="1"/>
    </row>
    <row r="786" spans="6:6">
      <c r="F786" s="1"/>
    </row>
    <row r="787" spans="6:6">
      <c r="F787" s="1"/>
    </row>
    <row r="788" spans="6:6">
      <c r="F788" s="1"/>
    </row>
    <row r="789" spans="6:6">
      <c r="F789" s="1"/>
    </row>
    <row r="790" spans="6:6">
      <c r="F790" s="1"/>
    </row>
    <row r="791" spans="6:6">
      <c r="F791" s="1"/>
    </row>
    <row r="792" spans="6:6">
      <c r="F792" s="1"/>
    </row>
    <row r="793" spans="6:6">
      <c r="F793" s="1"/>
    </row>
    <row r="794" spans="6:6">
      <c r="F794" s="1"/>
    </row>
    <row r="795" spans="6:6">
      <c r="F795" s="1"/>
    </row>
    <row r="796" spans="6:6">
      <c r="F796" s="1"/>
    </row>
    <row r="797" spans="6:6">
      <c r="F797" s="1"/>
    </row>
    <row r="798" spans="6:6">
      <c r="F798" s="1"/>
    </row>
    <row r="799" spans="6:6">
      <c r="F799" s="1"/>
    </row>
    <row r="800" spans="6:6">
      <c r="F800" s="1"/>
    </row>
    <row r="801" spans="6:6">
      <c r="F801" s="1"/>
    </row>
    <row r="802" spans="6:6">
      <c r="F802" s="1"/>
    </row>
    <row r="803" spans="6:6">
      <c r="F803" s="1"/>
    </row>
    <row r="804" spans="6:6">
      <c r="F804" s="1"/>
    </row>
    <row r="805" spans="6:6">
      <c r="F805" s="1"/>
    </row>
    <row r="806" spans="6:6">
      <c r="F806" s="1"/>
    </row>
    <row r="807" spans="6:6">
      <c r="F807" s="1"/>
    </row>
    <row r="808" spans="6:6">
      <c r="F808" s="1"/>
    </row>
    <row r="809" spans="6:6">
      <c r="F809" s="1"/>
    </row>
    <row r="810" spans="6:6">
      <c r="F810" s="1"/>
    </row>
    <row r="811" spans="6:6">
      <c r="F811" s="1"/>
    </row>
    <row r="812" spans="6:6">
      <c r="F812" s="1"/>
    </row>
    <row r="813" spans="6:6">
      <c r="F813" s="1"/>
    </row>
    <row r="814" spans="6:6">
      <c r="F814" s="1"/>
    </row>
    <row r="815" spans="6:6">
      <c r="F815" s="1"/>
    </row>
    <row r="816" spans="6:6">
      <c r="F816" s="1"/>
    </row>
    <row r="817" spans="6:6">
      <c r="F817" s="1"/>
    </row>
    <row r="818" spans="6:6">
      <c r="F818" s="1"/>
    </row>
    <row r="819" spans="6:6">
      <c r="F819" s="1"/>
    </row>
    <row r="820" spans="6:6">
      <c r="F820" s="1"/>
    </row>
    <row r="821" spans="6:6">
      <c r="F821" s="1"/>
    </row>
    <row r="822" spans="6:6">
      <c r="F822" s="1"/>
    </row>
    <row r="823" spans="6:6">
      <c r="F823" s="1"/>
    </row>
    <row r="824" spans="6:6">
      <c r="F824" s="1"/>
    </row>
    <row r="825" spans="6:6">
      <c r="F825" s="1"/>
    </row>
    <row r="826" spans="6:6">
      <c r="F826" s="1"/>
    </row>
    <row r="827" spans="6:6">
      <c r="F827" s="1"/>
    </row>
    <row r="828" spans="6:6">
      <c r="F828" s="1"/>
    </row>
    <row r="829" spans="6:6">
      <c r="F829" s="1"/>
    </row>
    <row r="830" spans="6:6">
      <c r="F830" s="1"/>
    </row>
    <row r="831" spans="6:6">
      <c r="F831" s="1"/>
    </row>
    <row r="832" spans="6:6">
      <c r="F832" s="1"/>
    </row>
    <row r="833" spans="6:6">
      <c r="F833" s="1"/>
    </row>
    <row r="834" spans="6:6">
      <c r="F834" s="1"/>
    </row>
    <row r="835" spans="6:6">
      <c r="F835" s="1"/>
    </row>
    <row r="836" spans="6:6">
      <c r="F836" s="1"/>
    </row>
    <row r="837" spans="6:6">
      <c r="F837" s="1"/>
    </row>
    <row r="838" spans="6:6">
      <c r="F838" s="1"/>
    </row>
    <row r="839" spans="6:6">
      <c r="F839" s="1"/>
    </row>
    <row r="840" spans="6:6">
      <c r="F840" s="1"/>
    </row>
    <row r="841" spans="6:6">
      <c r="F841" s="1"/>
    </row>
    <row r="842" spans="6:6">
      <c r="F842" s="1"/>
    </row>
    <row r="843" spans="6:6">
      <c r="F843" s="1"/>
    </row>
    <row r="844" spans="6:6">
      <c r="F844" s="1"/>
    </row>
    <row r="845" spans="6:6">
      <c r="F845" s="1"/>
    </row>
    <row r="846" spans="6:6">
      <c r="F846" s="1"/>
    </row>
    <row r="847" spans="6:6">
      <c r="F847" s="1"/>
    </row>
    <row r="848" spans="6:6">
      <c r="F848" s="1"/>
    </row>
    <row r="849" spans="6:6">
      <c r="F849" s="1"/>
    </row>
    <row r="850" spans="6:6">
      <c r="F850" s="1"/>
    </row>
    <row r="851" spans="6:6">
      <c r="F851" s="1"/>
    </row>
    <row r="852" spans="6:6">
      <c r="F852" s="1"/>
    </row>
    <row r="853" spans="6:6">
      <c r="F853" s="1"/>
    </row>
    <row r="854" spans="6:6">
      <c r="F854" s="1"/>
    </row>
    <row r="855" spans="6:6">
      <c r="F855" s="1"/>
    </row>
    <row r="856" spans="6:6">
      <c r="F856" s="1"/>
    </row>
    <row r="857" spans="6:6">
      <c r="F857" s="1"/>
    </row>
    <row r="858" spans="6:6">
      <c r="F858" s="1"/>
    </row>
    <row r="859" spans="6:6">
      <c r="F859" s="1"/>
    </row>
    <row r="860" spans="6:6">
      <c r="F860" s="1"/>
    </row>
    <row r="861" spans="6:6">
      <c r="F861" s="1"/>
    </row>
    <row r="862" spans="6:6">
      <c r="F862" s="1"/>
    </row>
    <row r="863" spans="6:6">
      <c r="F863" s="1"/>
    </row>
    <row r="864" spans="6:6">
      <c r="F864" s="1"/>
    </row>
    <row r="865" spans="6:6">
      <c r="F865" s="1"/>
    </row>
    <row r="866" spans="6:6">
      <c r="F866" s="1"/>
    </row>
    <row r="867" spans="6:6">
      <c r="F867" s="1"/>
    </row>
    <row r="868" spans="6:6">
      <c r="F868" s="1"/>
    </row>
    <row r="869" spans="6:6">
      <c r="F869" s="1"/>
    </row>
    <row r="870" spans="6:6">
      <c r="F870" s="1"/>
    </row>
    <row r="871" spans="6:6">
      <c r="F871" s="1"/>
    </row>
    <row r="872" spans="6:6">
      <c r="F872" s="1"/>
    </row>
    <row r="873" spans="6:6">
      <c r="F873" s="1"/>
    </row>
    <row r="874" spans="6:6">
      <c r="F874" s="1"/>
    </row>
    <row r="875" spans="6:6">
      <c r="F875" s="1"/>
    </row>
    <row r="876" spans="6:6">
      <c r="F876" s="1"/>
    </row>
    <row r="877" spans="6:6">
      <c r="F877" s="1"/>
    </row>
    <row r="878" spans="6:6">
      <c r="F878" s="1"/>
    </row>
    <row r="879" spans="6:6">
      <c r="F879" s="1"/>
    </row>
    <row r="880" spans="6:6">
      <c r="F880" s="1"/>
    </row>
    <row r="881" spans="6:6">
      <c r="F881" s="1"/>
    </row>
    <row r="882" spans="6:6">
      <c r="F882" s="1"/>
    </row>
    <row r="883" spans="6:6">
      <c r="F883" s="1"/>
    </row>
    <row r="884" spans="6:6">
      <c r="F884" s="1"/>
    </row>
    <row r="885" spans="6:6">
      <c r="F885" s="1"/>
    </row>
    <row r="886" spans="6:6">
      <c r="F886" s="1"/>
    </row>
    <row r="887" spans="6:6">
      <c r="F887" s="1"/>
    </row>
    <row r="888" spans="6:6">
      <c r="F888" s="1"/>
    </row>
    <row r="889" spans="6:6">
      <c r="F889" s="1"/>
    </row>
    <row r="890" spans="6:6">
      <c r="F890" s="1"/>
    </row>
    <row r="891" spans="6:6">
      <c r="F891" s="1"/>
    </row>
    <row r="892" spans="6:6">
      <c r="F892" s="1"/>
    </row>
    <row r="893" spans="6:6">
      <c r="F893" s="1"/>
    </row>
    <row r="894" spans="6:6">
      <c r="F894" s="1"/>
    </row>
    <row r="895" spans="6:6">
      <c r="F895" s="1"/>
    </row>
    <row r="896" spans="6:6">
      <c r="F896" s="1"/>
    </row>
    <row r="897" spans="6:6">
      <c r="F897" s="1"/>
    </row>
    <row r="898" spans="6:6">
      <c r="F898" s="1"/>
    </row>
    <row r="899" spans="6:6">
      <c r="F899" s="1"/>
    </row>
    <row r="900" spans="6:6">
      <c r="F900" s="1"/>
    </row>
    <row r="901" spans="6:6">
      <c r="F901" s="1"/>
    </row>
    <row r="902" spans="6:6">
      <c r="F902" s="1"/>
    </row>
    <row r="903" spans="6:6">
      <c r="F903" s="1"/>
    </row>
    <row r="904" spans="6:6">
      <c r="F904" s="1"/>
    </row>
    <row r="905" spans="6:6">
      <c r="F905" s="1"/>
    </row>
    <row r="906" spans="6:6">
      <c r="F906" s="1"/>
    </row>
    <row r="907" spans="6:6">
      <c r="F907" s="1"/>
    </row>
    <row r="908" spans="6:6">
      <c r="F908" s="1"/>
    </row>
    <row r="909" spans="6:6">
      <c r="F909" s="1"/>
    </row>
    <row r="910" spans="6:6">
      <c r="F910" s="1"/>
    </row>
    <row r="911" spans="6:6">
      <c r="F911" s="1"/>
    </row>
    <row r="912" spans="6:6">
      <c r="F912" s="1"/>
    </row>
    <row r="913" spans="6:6">
      <c r="F913" s="1"/>
    </row>
    <row r="914" spans="6:6">
      <c r="F914" s="1"/>
    </row>
    <row r="915" spans="6:6">
      <c r="F915" s="1"/>
    </row>
    <row r="916" spans="6:6">
      <c r="F916" s="1"/>
    </row>
    <row r="917" spans="6:6">
      <c r="F917" s="1"/>
    </row>
    <row r="918" spans="6:6">
      <c r="F918" s="1"/>
    </row>
    <row r="919" spans="6:6">
      <c r="F919" s="1"/>
    </row>
    <row r="920" spans="6:6">
      <c r="F920" s="1"/>
    </row>
    <row r="921" spans="6:6">
      <c r="F921" s="1"/>
    </row>
    <row r="922" spans="6:6">
      <c r="F922" s="1"/>
    </row>
    <row r="923" spans="6:6">
      <c r="F923" s="1"/>
    </row>
    <row r="924" spans="6:6">
      <c r="F924" s="1"/>
    </row>
    <row r="925" spans="6:6">
      <c r="F925" s="1"/>
    </row>
    <row r="926" spans="6:6">
      <c r="F926" s="1"/>
    </row>
    <row r="927" spans="6:6">
      <c r="F927" s="1"/>
    </row>
    <row r="928" spans="6:6">
      <c r="F928" s="1"/>
    </row>
    <row r="929" spans="6:6">
      <c r="F929" s="1"/>
    </row>
    <row r="930" spans="6:6">
      <c r="F930" s="1"/>
    </row>
    <row r="931" spans="6:6">
      <c r="F931" s="1"/>
    </row>
    <row r="932" spans="6:6">
      <c r="F932" s="1"/>
    </row>
    <row r="933" spans="6:6">
      <c r="F933" s="1"/>
    </row>
    <row r="934" spans="6:6">
      <c r="F934" s="1"/>
    </row>
    <row r="935" spans="6:6">
      <c r="F935" s="1"/>
    </row>
    <row r="936" spans="6:6">
      <c r="F936" s="1"/>
    </row>
    <row r="937" spans="6:6">
      <c r="F937" s="1"/>
    </row>
    <row r="938" spans="6:6">
      <c r="F938" s="1"/>
    </row>
    <row r="939" spans="6:6">
      <c r="F939" s="1"/>
    </row>
    <row r="940" spans="6:6">
      <c r="F940" s="1"/>
    </row>
    <row r="941" spans="6:6">
      <c r="F941" s="1"/>
    </row>
    <row r="942" spans="6:6">
      <c r="F942" s="1"/>
    </row>
    <row r="943" spans="6:6">
      <c r="F943" s="1"/>
    </row>
    <row r="944" spans="6:6">
      <c r="F944" s="1"/>
    </row>
    <row r="945" spans="6:6">
      <c r="F945" s="1"/>
    </row>
    <row r="946" spans="6:6">
      <c r="F946" s="1"/>
    </row>
    <row r="947" spans="6:6">
      <c r="F947" s="1"/>
    </row>
    <row r="948" spans="6:6">
      <c r="F948" s="1"/>
    </row>
    <row r="949" spans="6:6">
      <c r="F949" s="1"/>
    </row>
    <row r="950" spans="6:6">
      <c r="F950" s="1"/>
    </row>
    <row r="951" spans="6:6">
      <c r="F951" s="1"/>
    </row>
    <row r="952" spans="6:6">
      <c r="F952" s="1"/>
    </row>
    <row r="953" spans="6:6">
      <c r="F953" s="1"/>
    </row>
    <row r="954" spans="6:6">
      <c r="F954" s="1"/>
    </row>
    <row r="955" spans="6:6">
      <c r="F955" s="1"/>
    </row>
    <row r="956" spans="6:6">
      <c r="F956" s="1"/>
    </row>
    <row r="957" spans="6:6">
      <c r="F957" s="1"/>
    </row>
    <row r="958" spans="6:6">
      <c r="F958" s="1"/>
    </row>
    <row r="959" spans="6:6">
      <c r="F959" s="1"/>
    </row>
    <row r="960" spans="6:6">
      <c r="F960" s="1"/>
    </row>
    <row r="961" spans="6:6">
      <c r="F961" s="1"/>
    </row>
    <row r="962" spans="6:6">
      <c r="F962" s="1"/>
    </row>
    <row r="963" spans="6:6">
      <c r="F963" s="1"/>
    </row>
    <row r="964" spans="6:6">
      <c r="F964" s="1"/>
    </row>
    <row r="965" spans="6:6">
      <c r="F965" s="1"/>
    </row>
    <row r="966" spans="6:6">
      <c r="F966" s="1"/>
    </row>
    <row r="967" spans="6:6">
      <c r="F967" s="1"/>
    </row>
    <row r="968" spans="6:6">
      <c r="F968" s="1"/>
    </row>
    <row r="969" spans="6:6">
      <c r="F969" s="1"/>
    </row>
    <row r="970" spans="6:6">
      <c r="F970" s="1"/>
    </row>
    <row r="971" spans="6:6">
      <c r="F971" s="1"/>
    </row>
    <row r="972" spans="6:6">
      <c r="F972" s="1"/>
    </row>
    <row r="973" spans="6:6">
      <c r="F973" s="1"/>
    </row>
    <row r="974" spans="6:6">
      <c r="F974" s="1"/>
    </row>
    <row r="975" spans="6:6">
      <c r="F975" s="1"/>
    </row>
    <row r="976" spans="6:6">
      <c r="F976" s="1"/>
    </row>
    <row r="977" spans="6:6">
      <c r="F977" s="1"/>
    </row>
    <row r="978" spans="6:6">
      <c r="F978" s="1"/>
    </row>
    <row r="979" spans="6:6">
      <c r="F979" s="1"/>
    </row>
    <row r="980" spans="6:6">
      <c r="F980" s="1"/>
    </row>
    <row r="981" spans="6:6">
      <c r="F981" s="1"/>
    </row>
    <row r="982" spans="6:6">
      <c r="F982" s="1"/>
    </row>
    <row r="983" spans="6:6">
      <c r="F983" s="1"/>
    </row>
    <row r="984" spans="6:6">
      <c r="F984" s="1"/>
    </row>
    <row r="985" spans="6:6">
      <c r="F985" s="1"/>
    </row>
    <row r="986" spans="6:6">
      <c r="F986" s="1"/>
    </row>
    <row r="987" spans="6:6">
      <c r="F987" s="1"/>
    </row>
    <row r="988" spans="6:6">
      <c r="F988" s="1"/>
    </row>
    <row r="989" spans="6:6">
      <c r="F989" s="1"/>
    </row>
    <row r="990" spans="6:6">
      <c r="F990" s="1"/>
    </row>
    <row r="991" spans="6:6">
      <c r="F991" s="1"/>
    </row>
    <row r="992" spans="6:6">
      <c r="F992" s="1"/>
    </row>
    <row r="993" spans="6:6">
      <c r="F993" s="1"/>
    </row>
    <row r="994" spans="6:6">
      <c r="F994" s="1"/>
    </row>
    <row r="995" spans="6:6">
      <c r="F995" s="1"/>
    </row>
    <row r="996" spans="6:6">
      <c r="F996" s="1"/>
    </row>
    <row r="997" spans="6:6">
      <c r="F997" s="1"/>
    </row>
    <row r="998" spans="6:6">
      <c r="F998" s="1"/>
    </row>
    <row r="999" spans="6:6">
      <c r="F999" s="1"/>
    </row>
    <row r="1000" spans="6:6">
      <c r="F1000" s="1"/>
    </row>
    <row r="1001" spans="6:6">
      <c r="F1001" s="1"/>
    </row>
    <row r="1002" spans="6:6">
      <c r="F1002" s="1"/>
    </row>
    <row r="1003" spans="6:6">
      <c r="F1003" s="1"/>
    </row>
    <row r="1004" spans="6:6">
      <c r="F1004" s="1"/>
    </row>
    <row r="1005" spans="6:6">
      <c r="F1005" s="1"/>
    </row>
    <row r="1006" spans="6:6">
      <c r="F1006" s="1"/>
    </row>
    <row r="1007" spans="6:6">
      <c r="F1007" s="1"/>
    </row>
    <row r="1008" spans="6:6">
      <c r="F1008" s="1"/>
    </row>
    <row r="1009" spans="6:6">
      <c r="F1009" s="1"/>
    </row>
    <row r="1010" spans="6:6">
      <c r="F1010" s="1"/>
    </row>
    <row r="1011" spans="6:6">
      <c r="F1011" s="1"/>
    </row>
    <row r="1012" spans="6:6">
      <c r="F1012" s="1"/>
    </row>
    <row r="1013" spans="6:6">
      <c r="F1013" s="1"/>
    </row>
    <row r="1014" spans="6:6">
      <c r="F1014" s="1"/>
    </row>
    <row r="1015" spans="6:6">
      <c r="F1015" s="1"/>
    </row>
    <row r="1016" spans="6:6">
      <c r="F1016" s="1"/>
    </row>
    <row r="1017" spans="6:6">
      <c r="F1017" s="1"/>
    </row>
    <row r="1018" spans="6:6">
      <c r="F1018" s="1"/>
    </row>
    <row r="1019" spans="6:6">
      <c r="F1019" s="1"/>
    </row>
    <row r="1020" spans="6:6">
      <c r="F1020" s="1"/>
    </row>
    <row r="1021" spans="6:6">
      <c r="F1021" s="1"/>
    </row>
    <row r="1022" spans="6:6">
      <c r="F1022" s="1"/>
    </row>
    <row r="1023" spans="6:6">
      <c r="F1023" s="1"/>
    </row>
    <row r="1024" spans="6:6">
      <c r="F1024" s="1"/>
    </row>
    <row r="1025" spans="6:6">
      <c r="F1025" s="1"/>
    </row>
    <row r="1026" spans="6:6">
      <c r="F1026" s="1"/>
    </row>
    <row r="1027" spans="6:6">
      <c r="F1027" s="1"/>
    </row>
    <row r="1028" spans="6:6">
      <c r="F1028" s="1"/>
    </row>
    <row r="1029" spans="6:6">
      <c r="F1029" s="1"/>
    </row>
    <row r="1030" spans="6:6">
      <c r="F1030" s="1"/>
    </row>
    <row r="1031" spans="6:6">
      <c r="F1031" s="1"/>
    </row>
    <row r="1032" spans="6:6">
      <c r="F1032" s="1"/>
    </row>
    <row r="1033" spans="6:6">
      <c r="F1033" s="1"/>
    </row>
    <row r="1034" spans="6:6">
      <c r="F1034" s="1"/>
    </row>
    <row r="1035" spans="6:6">
      <c r="F1035" s="1"/>
    </row>
    <row r="1036" spans="6:6">
      <c r="F1036" s="1"/>
    </row>
    <row r="1037" spans="6:6">
      <c r="F1037" s="1"/>
    </row>
    <row r="1038" spans="6:6">
      <c r="F1038" s="1"/>
    </row>
    <row r="1039" spans="6:6">
      <c r="F1039" s="1"/>
    </row>
    <row r="1040" spans="6:6">
      <c r="F1040" s="1"/>
    </row>
    <row r="1041" spans="6:6">
      <c r="F1041" s="1"/>
    </row>
    <row r="1042" spans="6:6">
      <c r="F1042" s="1"/>
    </row>
    <row r="1043" spans="6:6">
      <c r="F1043" s="1"/>
    </row>
    <row r="1044" spans="6:6">
      <c r="F1044" s="1"/>
    </row>
    <row r="1045" spans="6:6">
      <c r="F1045" s="1"/>
    </row>
    <row r="1046" spans="6:6">
      <c r="F1046" s="1"/>
    </row>
    <row r="1047" spans="6:6">
      <c r="F1047" s="1"/>
    </row>
    <row r="1048" spans="6:6">
      <c r="F1048" s="1"/>
    </row>
    <row r="1049" spans="6:6">
      <c r="F1049" s="1"/>
    </row>
    <row r="1050" spans="6:6">
      <c r="F1050" s="1"/>
    </row>
    <row r="1051" spans="6:6">
      <c r="F1051" s="1"/>
    </row>
    <row r="1052" spans="6:6">
      <c r="F1052" s="1"/>
    </row>
    <row r="1053" spans="6:6">
      <c r="F1053" s="1"/>
    </row>
    <row r="1054" spans="6:6">
      <c r="F1054" s="1"/>
    </row>
    <row r="1055" spans="6:6">
      <c r="F1055" s="1"/>
    </row>
    <row r="1056" spans="6:6">
      <c r="F1056" s="1"/>
    </row>
    <row r="1057" spans="6:6">
      <c r="F1057" s="1"/>
    </row>
    <row r="1058" spans="6:6">
      <c r="F1058" s="1"/>
    </row>
    <row r="1059" spans="6:6">
      <c r="F1059" s="1"/>
    </row>
    <row r="1060" spans="6:6">
      <c r="F1060" s="1"/>
    </row>
    <row r="1061" spans="6:6">
      <c r="F1061" s="1"/>
    </row>
    <row r="1062" spans="6:6">
      <c r="F1062" s="1"/>
    </row>
    <row r="1063" spans="6:6">
      <c r="F1063" s="1"/>
    </row>
    <row r="1064" spans="6:6">
      <c r="F1064" s="1"/>
    </row>
    <row r="1065" spans="6:6">
      <c r="F1065" s="1"/>
    </row>
    <row r="1066" spans="6:6">
      <c r="F1066" s="1"/>
    </row>
    <row r="1067" spans="6:6">
      <c r="F1067" s="1"/>
    </row>
    <row r="1068" spans="6:6">
      <c r="F1068" s="1"/>
    </row>
    <row r="1069" spans="6:6">
      <c r="F1069" s="1"/>
    </row>
    <row r="1070" spans="6:6">
      <c r="F1070" s="1"/>
    </row>
    <row r="1071" spans="6:6">
      <c r="F1071" s="1"/>
    </row>
    <row r="1072" spans="6:6">
      <c r="F1072" s="1"/>
    </row>
    <row r="1073" spans="6:6">
      <c r="F1073" s="1"/>
    </row>
    <row r="1074" spans="6:6">
      <c r="F1074" s="1"/>
    </row>
    <row r="1075" spans="6:6">
      <c r="F1075" s="1"/>
    </row>
    <row r="1076" spans="6:6">
      <c r="F1076" s="1"/>
    </row>
    <row r="1077" spans="6:6">
      <c r="F1077" s="1"/>
    </row>
    <row r="1078" spans="6:6">
      <c r="F1078" s="1"/>
    </row>
    <row r="1079" spans="6:6">
      <c r="F1079" s="1"/>
    </row>
    <row r="1080" spans="6:6">
      <c r="F1080" s="1"/>
    </row>
    <row r="1081" spans="6:6">
      <c r="F1081" s="1"/>
    </row>
    <row r="1082" spans="6:6">
      <c r="F1082" s="1"/>
    </row>
    <row r="1083" spans="6:6">
      <c r="F1083" s="1"/>
    </row>
    <row r="1084" spans="6:6">
      <c r="F1084" s="1"/>
    </row>
    <row r="1085" spans="6:6">
      <c r="F1085" s="1"/>
    </row>
    <row r="1086" spans="6:6">
      <c r="F1086" s="1"/>
    </row>
    <row r="1087" spans="6:6">
      <c r="F1087" s="1"/>
    </row>
    <row r="1088" spans="6:6">
      <c r="F1088" s="1"/>
    </row>
    <row r="1089" spans="6:6">
      <c r="F1089" s="1"/>
    </row>
    <row r="1090" spans="6:6">
      <c r="F1090" s="1"/>
    </row>
    <row r="1091" spans="6:6">
      <c r="F1091" s="1"/>
    </row>
    <row r="1092" spans="6:6">
      <c r="F1092" s="1"/>
    </row>
    <row r="1093" spans="6:6">
      <c r="F1093" s="1"/>
    </row>
    <row r="1094" spans="6:6">
      <c r="F1094" s="1"/>
    </row>
    <row r="1095" spans="6:6">
      <c r="F1095" s="1"/>
    </row>
    <row r="1096" spans="6:6">
      <c r="F1096" s="1"/>
    </row>
    <row r="1097" spans="6:6">
      <c r="F1097" s="1"/>
    </row>
    <row r="1098" spans="6:6">
      <c r="F1098" s="1"/>
    </row>
    <row r="1099" spans="6:6">
      <c r="F1099" s="1"/>
    </row>
    <row r="1100" spans="6:6">
      <c r="F1100" s="1"/>
    </row>
    <row r="1101" spans="6:6">
      <c r="F1101" s="1"/>
    </row>
    <row r="1102" spans="6:6">
      <c r="F1102" s="1"/>
    </row>
    <row r="1103" spans="6:6">
      <c r="F1103" s="1"/>
    </row>
    <row r="1104" spans="6:6">
      <c r="F1104" s="1"/>
    </row>
    <row r="1105" spans="6:6">
      <c r="F1105" s="1"/>
    </row>
    <row r="1106" spans="6:6">
      <c r="F1106" s="1"/>
    </row>
    <row r="1107" spans="6:6">
      <c r="F1107" s="1"/>
    </row>
    <row r="1108" spans="6:6">
      <c r="F1108" s="1"/>
    </row>
    <row r="1109" spans="6:6">
      <c r="F1109" s="1"/>
    </row>
    <row r="1110" spans="6:6">
      <c r="F1110" s="1"/>
    </row>
    <row r="1111" spans="6:6">
      <c r="F1111" s="1"/>
    </row>
    <row r="1112" spans="6:6">
      <c r="F1112" s="1"/>
    </row>
    <row r="1113" spans="6:6">
      <c r="F1113" s="1"/>
    </row>
    <row r="1114" spans="6:6">
      <c r="F1114" s="1"/>
    </row>
    <row r="1115" spans="6:6">
      <c r="F1115" s="1"/>
    </row>
    <row r="1116" spans="6:6">
      <c r="F1116" s="1"/>
    </row>
    <row r="1117" spans="6:6">
      <c r="F1117" s="1"/>
    </row>
    <row r="1118" spans="6:6">
      <c r="F1118" s="1"/>
    </row>
    <row r="1119" spans="6:6">
      <c r="F1119" s="1"/>
    </row>
    <row r="1120" spans="6:6">
      <c r="F1120" s="1"/>
    </row>
    <row r="1121" spans="6:6">
      <c r="F1121" s="1"/>
    </row>
    <row r="1122" spans="6:6">
      <c r="F1122" s="1"/>
    </row>
    <row r="1123" spans="6:6">
      <c r="F1123" s="1"/>
    </row>
    <row r="1124" spans="6:6">
      <c r="F1124" s="1"/>
    </row>
    <row r="1125" spans="6:6">
      <c r="F1125" s="1"/>
    </row>
    <row r="1126" spans="6:6">
      <c r="F1126" s="1"/>
    </row>
    <row r="1127" spans="6:6">
      <c r="F1127" s="1"/>
    </row>
    <row r="1128" spans="6:6">
      <c r="F1128" s="1"/>
    </row>
    <row r="1129" spans="6:6">
      <c r="F1129" s="1"/>
    </row>
    <row r="1130" spans="6:6">
      <c r="F1130" s="1"/>
    </row>
    <row r="1131" spans="6:6">
      <c r="F1131" s="1"/>
    </row>
    <row r="1132" spans="6:6">
      <c r="F1132" s="1"/>
    </row>
    <row r="1133" spans="6:6">
      <c r="F1133" s="1"/>
    </row>
    <row r="1134" spans="6:6">
      <c r="F1134" s="1"/>
    </row>
    <row r="1135" spans="6:6">
      <c r="F1135" s="1"/>
    </row>
    <row r="1136" spans="6:6">
      <c r="F1136" s="1"/>
    </row>
    <row r="1137" spans="6:6">
      <c r="F1137" s="1"/>
    </row>
    <row r="1138" spans="6:6">
      <c r="F1138" s="1"/>
    </row>
    <row r="1139" spans="6:6">
      <c r="F1139" s="1"/>
    </row>
    <row r="1140" spans="6:6">
      <c r="F1140" s="1"/>
    </row>
  </sheetData>
  <mergeCells count="1">
    <mergeCell ref="E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2026-07-08T05:41:39Z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