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26805" windowHeight="134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<sst xmlns="http://schemas.openxmlformats.org/spreadsheetml/2006/main" count="2973" uniqueCount="833">
  <si>
    <t>##var</t>
  </si>
  <si>
    <t>Id</t>
  </si>
  <si>
    <t>Type</t>
  </si>
  <si>
    <t>Icon</t>
  </si>
  <si>
    <t>MainDesc</t>
  </si>
  <si>
    <t>*ResonanceList</t>
  </si>
  <si>
    <t>##+</t>
  </si>
  <si>
    <t>Level</t>
  </si>
  <si>
    <t>Stage</t>
  </si>
  <si>
    <t>ProbabilityOfSuccess</t>
  </si>
  <si>
    <t>FightNum</t>
  </si>
  <si>
    <t>Attributes</t>
  </si>
  <si>
    <t>Desc</t>
  </si>
  <si>
    <t>ConsumeItems</t>
  </si>
  <si>
    <t>##</t>
  </si>
  <si>
    <t>共鸣id</t>
  </si>
  <si>
    <t>共鸣类型</t>
  </si>
  <si>
    <t>图标</t>
  </si>
  <si>
    <t>效果描述</t>
  </si>
  <si>
    <t>等级</t>
  </si>
  <si>
    <t>共鸣阶段</t>
  </si>
  <si>
    <t>共鸣成功概率</t>
  </si>
  <si>
    <t>战力</t>
  </si>
  <si>
    <t>生效属性</t>
  </si>
  <si>
    <t>升级描述</t>
  </si>
  <si>
    <t>升级消耗</t>
  </si>
  <si>
    <t>101</t>
  </si>
  <si>
    <t>战士共鸣</t>
  </si>
  <si>
    <t>WarriorEnergy</t>
  </si>
  <si>
    <t>战士系英灵伤害+</t>
  </si>
  <si>
    <t>0</t>
  </si>
  <si>
    <t>1</t>
  </si>
  <si>
    <t>1025002_1|1010001_100</t>
  </si>
  <si>
    <t>&lt;color=#FFFF00&gt;1%&lt;/color&gt;</t>
  </si>
  <si>
    <t>2</t>
  </si>
  <si>
    <t>&lt;color=#FFFF00&gt;2%&lt;/color&gt;</t>
  </si>
  <si>
    <t>3</t>
  </si>
  <si>
    <t>&lt;color=#FFFF00&gt;3%&lt;/color&gt;</t>
  </si>
  <si>
    <t>4</t>
  </si>
  <si>
    <t>&lt;color=#FFFF00&gt;4%&lt;/color&gt;</t>
  </si>
  <si>
    <t>5</t>
  </si>
  <si>
    <t>&lt;color=#FFFF00&gt;5%&lt;/color&gt;</t>
  </si>
  <si>
    <t>6</t>
  </si>
  <si>
    <t>&lt;color=#FFFF00&gt;6%&lt;/color&gt;</t>
  </si>
  <si>
    <t>7</t>
  </si>
  <si>
    <t>&lt;color=#FFFF00&gt;7%&lt;/color&gt;</t>
  </si>
  <si>
    <t>8</t>
  </si>
  <si>
    <t>&lt;color=#FFFF00&gt;8%&lt;/color&gt;</t>
  </si>
  <si>
    <t>9</t>
  </si>
  <si>
    <t>&lt;color=#FFFF00&gt;9%&lt;/color&gt;</t>
  </si>
  <si>
    <t>10</t>
  </si>
  <si>
    <t>&lt;color=#FFFF00&gt;10%&lt;/color&gt;</t>
  </si>
  <si>
    <t>1025002_2|1010001_200</t>
  </si>
  <si>
    <t>11</t>
  </si>
  <si>
    <t>&lt;color=#FFFF00&gt;12%&lt;/color&gt;</t>
  </si>
  <si>
    <t>12</t>
  </si>
  <si>
    <t>&lt;color=#FFFF00&gt;14%&lt;/color&gt;</t>
  </si>
  <si>
    <t>13</t>
  </si>
  <si>
    <t>&lt;color=#FFFF00&gt;16%&lt;/color&gt;</t>
  </si>
  <si>
    <t>14</t>
  </si>
  <si>
    <t>&lt;color=#FFFF00&gt;18%&lt;/color&gt;</t>
  </si>
  <si>
    <t>15</t>
  </si>
  <si>
    <t>&lt;color=#FFFF00&gt;20%&lt;/color&gt;</t>
  </si>
  <si>
    <t>16</t>
  </si>
  <si>
    <t>&lt;color=#FFFF00&gt;22%&lt;/color&gt;</t>
  </si>
  <si>
    <t>17</t>
  </si>
  <si>
    <t>&lt;color=#FFFF00&gt;24%&lt;/color&gt;</t>
  </si>
  <si>
    <t>18</t>
  </si>
  <si>
    <t>&lt;color=#FFFF00&gt;26%&lt;/color&gt;</t>
  </si>
  <si>
    <t>19</t>
  </si>
  <si>
    <t>&lt;color=#FFFF00&gt;28%&lt;/color&gt;</t>
  </si>
  <si>
    <t>20</t>
  </si>
  <si>
    <t>&lt;color=#FFFF00&gt;30%&lt;/color&gt;</t>
  </si>
  <si>
    <t>1025002_3|1010001_300</t>
  </si>
  <si>
    <t>21</t>
  </si>
  <si>
    <t>&lt;color=#FFFF00&gt;33%&lt;/color&gt;</t>
  </si>
  <si>
    <t>22</t>
  </si>
  <si>
    <t>&lt;color=#FFFF00&gt;36%&lt;/color&gt;</t>
  </si>
  <si>
    <t>23</t>
  </si>
  <si>
    <t>&lt;color=#FFFF00&gt;39%&lt;/color&gt;</t>
  </si>
  <si>
    <t>24</t>
  </si>
  <si>
    <t>&lt;color=#FFFF00&gt;42%&lt;/color&gt;</t>
  </si>
  <si>
    <t>25</t>
  </si>
  <si>
    <t>&lt;color=#FFFF00&gt;45%&lt;/color&gt;</t>
  </si>
  <si>
    <t>26</t>
  </si>
  <si>
    <t>&lt;color=#FFFF00&gt;48%&lt;/color&gt;</t>
  </si>
  <si>
    <t>27</t>
  </si>
  <si>
    <t>&lt;color=#FFFF00&gt;51%&lt;/color&gt;</t>
  </si>
  <si>
    <t>28</t>
  </si>
  <si>
    <t>&lt;color=#FFFF00&gt;54%&lt;/color&gt;</t>
  </si>
  <si>
    <t>29</t>
  </si>
  <si>
    <t>&lt;color=#FFFF00&gt;57%&lt;/color&gt;</t>
  </si>
  <si>
    <t>30</t>
  </si>
  <si>
    <t>&lt;color=#FFFF00&gt;60%&lt;/color&gt;</t>
  </si>
  <si>
    <t>1025002_4|1010001_400</t>
  </si>
  <si>
    <t>31</t>
  </si>
  <si>
    <t>&lt;color=#FFFF00&gt;64%&lt;/color&gt;</t>
  </si>
  <si>
    <t>32</t>
  </si>
  <si>
    <t>&lt;color=#FFFF00&gt;68%&lt;/color&gt;</t>
  </si>
  <si>
    <t>33</t>
  </si>
  <si>
    <t>&lt;color=#FFFF00&gt;72%&lt;/color&gt;</t>
  </si>
  <si>
    <t>34</t>
  </si>
  <si>
    <t>&lt;color=#FFFF00&gt;76%&lt;/color&gt;</t>
  </si>
  <si>
    <t>35</t>
  </si>
  <si>
    <t>&lt;color=#FFFF00&gt;80%&lt;/color&gt;</t>
  </si>
  <si>
    <t>36</t>
  </si>
  <si>
    <t>&lt;color=#FFFF00&gt;84%&lt;/color&gt;</t>
  </si>
  <si>
    <t>37</t>
  </si>
  <si>
    <t>&lt;color=#FFFF00&gt;88%&lt;/color&gt;</t>
  </si>
  <si>
    <t>38</t>
  </si>
  <si>
    <t>&lt;color=#FFFF00&gt;92%&lt;/color&gt;</t>
  </si>
  <si>
    <t>39</t>
  </si>
  <si>
    <t>&lt;color=#FFFF00&gt;96%&lt;/color&gt;</t>
  </si>
  <si>
    <t>40</t>
  </si>
  <si>
    <t>&lt;color=#FFFF00&gt;100%&lt;/color&gt;</t>
  </si>
  <si>
    <t>1025002_5|1010001_500</t>
  </si>
  <si>
    <t>41</t>
  </si>
  <si>
    <t>&lt;color=#FFFF00&gt;105%&lt;/color&gt;</t>
  </si>
  <si>
    <t>42</t>
  </si>
  <si>
    <t>&lt;color=#FFFF00&gt;110%&lt;/color&gt;</t>
  </si>
  <si>
    <t>43</t>
  </si>
  <si>
    <t>&lt;color=#FFFF00&gt;115%&lt;/color&gt;</t>
  </si>
  <si>
    <t>44</t>
  </si>
  <si>
    <t>&lt;color=#FFFF00&gt;120%&lt;/color&gt;</t>
  </si>
  <si>
    <t>45</t>
  </si>
  <si>
    <t>&lt;color=#FFFF00&gt;125%&lt;/color&gt;</t>
  </si>
  <si>
    <t>46</t>
  </si>
  <si>
    <t>&lt;color=#FFFF00&gt;130%&lt;/color&gt;</t>
  </si>
  <si>
    <t>47</t>
  </si>
  <si>
    <t>&lt;color=#FFFF00&gt;135%&lt;/color&gt;</t>
  </si>
  <si>
    <t>48</t>
  </si>
  <si>
    <t>&lt;color=#FFFF00&gt;140%&lt;/color&gt;</t>
  </si>
  <si>
    <t>49</t>
  </si>
  <si>
    <t>&lt;color=#FFFF00&gt;145%&lt;/color&gt;</t>
  </si>
  <si>
    <t>50</t>
  </si>
  <si>
    <t>&lt;color=#FFFF00&gt;150%&lt;/color&gt;</t>
  </si>
  <si>
    <t>1025002_6|1010001_600</t>
  </si>
  <si>
    <t>51</t>
  </si>
  <si>
    <t>&lt;color=#FFFF00&gt;156%&lt;/color&gt;</t>
  </si>
  <si>
    <t>52</t>
  </si>
  <si>
    <t>&lt;color=#FFFF00&gt;162%&lt;/color&gt;</t>
  </si>
  <si>
    <t>53</t>
  </si>
  <si>
    <t>&lt;color=#FFFF00&gt;168%&lt;/color&gt;</t>
  </si>
  <si>
    <t>54</t>
  </si>
  <si>
    <t>&lt;color=#FFFF00&gt;174%&lt;/color&gt;</t>
  </si>
  <si>
    <t>55</t>
  </si>
  <si>
    <t>&lt;color=#FFFF00&gt;180%&lt;/color&gt;</t>
  </si>
  <si>
    <t>56</t>
  </si>
  <si>
    <t>&lt;color=#FFFF00&gt;186%&lt;/color&gt;</t>
  </si>
  <si>
    <t>57</t>
  </si>
  <si>
    <t>&lt;color=#FFFF00&gt;192%&lt;/color&gt;</t>
  </si>
  <si>
    <t>58</t>
  </si>
  <si>
    <t>&lt;color=#FFFF00&gt;198%&lt;/color&gt;</t>
  </si>
  <si>
    <t>59</t>
  </si>
  <si>
    <t>&lt;color=#FFFF00&gt;204%&lt;/color&gt;</t>
  </si>
  <si>
    <t>60</t>
  </si>
  <si>
    <t>&lt;color=#FFFF00&gt;210%&lt;/color&gt;</t>
  </si>
  <si>
    <t>1025002_7|1010001_700</t>
  </si>
  <si>
    <t>61</t>
  </si>
  <si>
    <t>&lt;color=#FFFF00&gt;217%&lt;/color&gt;</t>
  </si>
  <si>
    <t>62</t>
  </si>
  <si>
    <t>&lt;color=#FFFF00&gt;224%&lt;/color&gt;</t>
  </si>
  <si>
    <t>63</t>
  </si>
  <si>
    <t>&lt;color=#FFFF00&gt;231%&lt;/color&gt;</t>
  </si>
  <si>
    <t>64</t>
  </si>
  <si>
    <t>&lt;color=#FFFF00&gt;238%&lt;/color&gt;</t>
  </si>
  <si>
    <t>65</t>
  </si>
  <si>
    <t>&lt;color=#FFFF00&gt;245%&lt;/color&gt;</t>
  </si>
  <si>
    <t>66</t>
  </si>
  <si>
    <t>&lt;color=#FFFF00&gt;252%&lt;/color&gt;</t>
  </si>
  <si>
    <t>67</t>
  </si>
  <si>
    <t>&lt;color=#FFFF00&gt;259%&lt;/color&gt;</t>
  </si>
  <si>
    <t>68</t>
  </si>
  <si>
    <t>&lt;color=#FFFF00&gt;266%&lt;/color&gt;</t>
  </si>
  <si>
    <t>69</t>
  </si>
  <si>
    <t>&lt;color=#FFFF00&gt;273%&lt;/color&gt;</t>
  </si>
  <si>
    <t>70</t>
  </si>
  <si>
    <t>&lt;color=#FFFF00&gt;280%&lt;/color&gt;</t>
  </si>
  <si>
    <t>1025002_8|1010001_800</t>
  </si>
  <si>
    <t>71</t>
  </si>
  <si>
    <t>&lt;color=#FFFF00&gt;288%&lt;/color&gt;</t>
  </si>
  <si>
    <t>72</t>
  </si>
  <si>
    <t>&lt;color=#FFFF00&gt;296%&lt;/color&gt;</t>
  </si>
  <si>
    <t>73</t>
  </si>
  <si>
    <t>&lt;color=#FFFF00&gt;304%&lt;/color&gt;</t>
  </si>
  <si>
    <t>74</t>
  </si>
  <si>
    <t>&lt;color=#FFFF00&gt;312%&lt;/color&gt;</t>
  </si>
  <si>
    <t>75</t>
  </si>
  <si>
    <t>&lt;color=#FFFF00&gt;320%&lt;/color&gt;</t>
  </si>
  <si>
    <t>76</t>
  </si>
  <si>
    <t>&lt;color=#FFFF00&gt;328%&lt;/color&gt;</t>
  </si>
  <si>
    <t>77</t>
  </si>
  <si>
    <t>&lt;color=#FFFF00&gt;336%&lt;/color&gt;</t>
  </si>
  <si>
    <t>78</t>
  </si>
  <si>
    <t>&lt;color=#FFFF00&gt;344%&lt;/color&gt;</t>
  </si>
  <si>
    <t>79</t>
  </si>
  <si>
    <t>&lt;color=#FFFF00&gt;352%&lt;/color&gt;</t>
  </si>
  <si>
    <t>80</t>
  </si>
  <si>
    <t>&lt;color=#FFFF00&gt;360%&lt;/color&gt;</t>
  </si>
  <si>
    <t>1025002_9|1010001_900</t>
  </si>
  <si>
    <t>81</t>
  </si>
  <si>
    <t>&lt;color=#FFFF00&gt;369%&lt;/color&gt;</t>
  </si>
  <si>
    <t>82</t>
  </si>
  <si>
    <t>&lt;color=#FFFF00&gt;378%&lt;/color&gt;</t>
  </si>
  <si>
    <t>83</t>
  </si>
  <si>
    <t>&lt;color=#FFFF00&gt;387%&lt;/color&gt;</t>
  </si>
  <si>
    <t>84</t>
  </si>
  <si>
    <t>&lt;color=#FFFF00&gt;396%&lt;/color&gt;</t>
  </si>
  <si>
    <t>85</t>
  </si>
  <si>
    <t>&lt;color=#FFFF00&gt;405%&lt;/color&gt;</t>
  </si>
  <si>
    <t>86</t>
  </si>
  <si>
    <t>&lt;color=#FFFF00&gt;414%&lt;/color&gt;</t>
  </si>
  <si>
    <t>87</t>
  </si>
  <si>
    <t>&lt;color=#FFFF00&gt;423%&lt;/color&gt;</t>
  </si>
  <si>
    <t>88</t>
  </si>
  <si>
    <t>&lt;color=#FFFF00&gt;432%&lt;/color&gt;</t>
  </si>
  <si>
    <t>89</t>
  </si>
  <si>
    <t>&lt;color=#FFFF00&gt;441%&lt;/color&gt;</t>
  </si>
  <si>
    <t>90</t>
  </si>
  <si>
    <t>&lt;color=#FFFF00&gt;450%&lt;/color&gt;</t>
  </si>
  <si>
    <t>1025002_10|1010001_1000</t>
  </si>
  <si>
    <t>91</t>
  </si>
  <si>
    <t>&lt;color=#FFFF00&gt;460%&lt;/color&gt;</t>
  </si>
  <si>
    <t>92</t>
  </si>
  <si>
    <t>&lt;color=#FFFF00&gt;470%&lt;/color&gt;</t>
  </si>
  <si>
    <t>93</t>
  </si>
  <si>
    <t>&lt;color=#FFFF00&gt;480%&lt;/color&gt;</t>
  </si>
  <si>
    <t>94</t>
  </si>
  <si>
    <t>&lt;color=#FFFF00&gt;490%&lt;/color&gt;</t>
  </si>
  <si>
    <t>95</t>
  </si>
  <si>
    <t>&lt;color=#FFFF00&gt;500%&lt;/color&gt;</t>
  </si>
  <si>
    <t>96</t>
  </si>
  <si>
    <t>&lt;color=#FFFF00&gt;510%&lt;/color&gt;</t>
  </si>
  <si>
    <t>97</t>
  </si>
  <si>
    <t>&lt;color=#FFFF00&gt;520%&lt;/color&gt;</t>
  </si>
  <si>
    <t>98</t>
  </si>
  <si>
    <t>&lt;color=#FFFF00&gt;530%&lt;/color&gt;</t>
  </si>
  <si>
    <t>99</t>
  </si>
  <si>
    <t>&lt;color=#FFFF00&gt;540%&lt;/color&gt;</t>
  </si>
  <si>
    <t>100</t>
  </si>
  <si>
    <t>&lt;color=#FFFF00&gt;550%&lt;/color&gt;</t>
  </si>
  <si>
    <t>102</t>
  </si>
  <si>
    <t>射手共鸣</t>
  </si>
  <si>
    <t>ArcherEnergy</t>
  </si>
  <si>
    <t>射手系英灵伤害+</t>
  </si>
  <si>
    <t>射手系英灵伤害修正:0.01:数值:0:0</t>
  </si>
  <si>
    <t>射手系英灵伤害修正:0.02:数值:0:0</t>
  </si>
  <si>
    <t>射手系英灵伤害修正:0.03:数值:0:0</t>
  </si>
  <si>
    <t>射手系英灵伤害修正:0.04:数值:0:0</t>
  </si>
  <si>
    <t>射手系英灵伤害修正:0.05:数值:0:0</t>
  </si>
  <si>
    <t>射手系英灵伤害修正:0.06:数值:0:0</t>
  </si>
  <si>
    <t>射手系英灵伤害修正:0.07:数值:0:0</t>
  </si>
  <si>
    <t>射手系英灵伤害修正:0.08:数值:0:0</t>
  </si>
  <si>
    <t>射手系英灵伤害修正:0.09:数值:0:0</t>
  </si>
  <si>
    <t>射手系英灵伤害修正:0.1:数值:0:0</t>
  </si>
  <si>
    <t>射手系英灵伤害修正:0.12:数值:0:0</t>
  </si>
  <si>
    <t>射手系英灵伤害修正:0.14:数值:0:0</t>
  </si>
  <si>
    <t>射手系英灵伤害修正:0.16:数值:0:0</t>
  </si>
  <si>
    <t>射手系英灵伤害修正:0.18:数值:0:0</t>
  </si>
  <si>
    <t>射手系英灵伤害修正:0.2:数值:0:0</t>
  </si>
  <si>
    <t>射手系英灵伤害修正:0.22:数值:0:0</t>
  </si>
  <si>
    <t>射手系英灵伤害修正:0.24:数值:0:0</t>
  </si>
  <si>
    <t>射手系英灵伤害修正:0.26:数值:0:0</t>
  </si>
  <si>
    <t>射手系英灵伤害修正:0.28:数值:0:0</t>
  </si>
  <si>
    <t>射手系英灵伤害修正:0.3:数值:0:0</t>
  </si>
  <si>
    <t>射手系英灵伤害修正:0.33:数值:0:0</t>
  </si>
  <si>
    <t>射手系英灵伤害修正:0.36:数值:0:0</t>
  </si>
  <si>
    <t>射手系英灵伤害修正:0.39:数值:0:0</t>
  </si>
  <si>
    <t>射手系英灵伤害修正:0.42:数值:0:0</t>
  </si>
  <si>
    <t>射手系英灵伤害修正:0.45:数值:0:0</t>
  </si>
  <si>
    <t>射手系英灵伤害修正:0.48:数值:0:0</t>
  </si>
  <si>
    <t>射手系英灵伤害修正:0.51:数值:0:0</t>
  </si>
  <si>
    <t>射手系英灵伤害修正:0.54:数值:0:0</t>
  </si>
  <si>
    <t>射手系英灵伤害修正:0.57:数值:0:0</t>
  </si>
  <si>
    <t>射手系英灵伤害修正:0.6:数值:0:0</t>
  </si>
  <si>
    <t>射手系英灵伤害修正:0.64:数值:0:0</t>
  </si>
  <si>
    <t>射手系英灵伤害修正:0.68:数值:0:0</t>
  </si>
  <si>
    <t>射手系英灵伤害修正:0.72:数值:0:0</t>
  </si>
  <si>
    <t>射手系英灵伤害修正:0.76:数值:0:0</t>
  </si>
  <si>
    <t>射手系英灵伤害修正:0.8:数值:0:0</t>
  </si>
  <si>
    <t>射手系英灵伤害修正:0.84:数值:0:0</t>
  </si>
  <si>
    <t>射手系英灵伤害修正:0.88:数值:0:0</t>
  </si>
  <si>
    <t>射手系英灵伤害修正:0.92:数值:0:0</t>
  </si>
  <si>
    <t>射手系英灵伤害修正:0.96:数值:0:0</t>
  </si>
  <si>
    <t>射手系英灵伤害修正:1:数值:0:0</t>
  </si>
  <si>
    <t>射手系英灵伤害修正:1.05:数值:0:0</t>
  </si>
  <si>
    <t>射手系英灵伤害修正:1.1:数值:0:0</t>
  </si>
  <si>
    <t>射手系英灵伤害修正:1.15:数值:0:0</t>
  </si>
  <si>
    <t>射手系英灵伤害修正:1.2:数值:0:0</t>
  </si>
  <si>
    <t>射手系英灵伤害修正:1.25:数值:0:0</t>
  </si>
  <si>
    <t>射手系英灵伤害修正:1.3:数值:0:0</t>
  </si>
  <si>
    <t>射手系英灵伤害修正:1.35:数值:0:0</t>
  </si>
  <si>
    <t>射手系英灵伤害修正:1.4:数值:0:0</t>
  </si>
  <si>
    <t>射手系英灵伤害修正:1.45:数值:0:0</t>
  </si>
  <si>
    <t>射手系英灵伤害修正:1.5:数值:0:0</t>
  </si>
  <si>
    <t>射手系英灵伤害修正:1.56:数值:0:0</t>
  </si>
  <si>
    <t>射手系英灵伤害修正:1.62:数值:0:0</t>
  </si>
  <si>
    <t>射手系英灵伤害修正:1.68:数值:0:0</t>
  </si>
  <si>
    <t>射手系英灵伤害修正:1.74:数值:0:0</t>
  </si>
  <si>
    <t>射手系英灵伤害修正:1.8:数值:0:0</t>
  </si>
  <si>
    <t>射手系英灵伤害修正:1.86:数值:0:0</t>
  </si>
  <si>
    <t>射手系英灵伤害修正:1.92:数值:0:0</t>
  </si>
  <si>
    <t>射手系英灵伤害修正:1.98:数值:0:0</t>
  </si>
  <si>
    <t>射手系英灵伤害修正:2.04:数值:0:0</t>
  </si>
  <si>
    <t>射手系英灵伤害修正:2.1:数值:0:0</t>
  </si>
  <si>
    <t>射手系英灵伤害修正:2.17:数值:0:0</t>
  </si>
  <si>
    <t>射手系英灵伤害修正:2.24:数值:0:0</t>
  </si>
  <si>
    <t>射手系英灵伤害修正:2.31:数值:0:0</t>
  </si>
  <si>
    <t>射手系英灵伤害修正:2.38:数值:0:0</t>
  </si>
  <si>
    <t>射手系英灵伤害修正:2.45:数值:0:0</t>
  </si>
  <si>
    <t>射手系英灵伤害修正:2.52:数值:0:0</t>
  </si>
  <si>
    <t>射手系英灵伤害修正:2.59:数值:0:0</t>
  </si>
  <si>
    <t>射手系英灵伤害修正:2.66:数值:0:0</t>
  </si>
  <si>
    <t>射手系英灵伤害修正:2.73:数值:0:0</t>
  </si>
  <si>
    <t>射手系英灵伤害修正:2.8:数值:0:0</t>
  </si>
  <si>
    <t>射手系英灵伤害修正:2.88:数值:0:0</t>
  </si>
  <si>
    <t>射手系英灵伤害修正:2.96:数值:0:0</t>
  </si>
  <si>
    <t>射手系英灵伤害修正:3.04:数值:0:0</t>
  </si>
  <si>
    <t>射手系英灵伤害修正:3.12:数值:0:0</t>
  </si>
  <si>
    <t>射手系英灵伤害修正:3.2:数值:0:0</t>
  </si>
  <si>
    <t>射手系英灵伤害修正:3.28:数值:0:0</t>
  </si>
  <si>
    <t>射手系英灵伤害修正:3.36:数值:0:0</t>
  </si>
  <si>
    <t>射手系英灵伤害修正:3.44:数值:0:0</t>
  </si>
  <si>
    <t>射手系英灵伤害修正:3.52:数值:0:0</t>
  </si>
  <si>
    <t>射手系英灵伤害修正:3.6:数值:0:0</t>
  </si>
  <si>
    <t>射手系英灵伤害修正:3.69:数值:0:0</t>
  </si>
  <si>
    <t>射手系英灵伤害修正:3.78:数值:0:0</t>
  </si>
  <si>
    <t>射手系英灵伤害修正:3.87:数值:0:0</t>
  </si>
  <si>
    <t>射手系英灵伤害修正:3.96:数值:0:0</t>
  </si>
  <si>
    <t>射手系英灵伤害修正:4.05:数值:0:0</t>
  </si>
  <si>
    <t>射手系英灵伤害修正:4.14:数值:0:0</t>
  </si>
  <si>
    <t>射手系英灵伤害修正:4.23:数值:0:0</t>
  </si>
  <si>
    <t>射手系英灵伤害修正:4.32:数值:0:0</t>
  </si>
  <si>
    <t>射手系英灵伤害修正:4.41:数值:0:0</t>
  </si>
  <si>
    <t>射手系英灵伤害修正:4.5:数值:0:0</t>
  </si>
  <si>
    <t>射手系英灵伤害修正:4.6:数值:0:0</t>
  </si>
  <si>
    <t>射手系英灵伤害修正:4.7:数值:0:0</t>
  </si>
  <si>
    <t>射手系英灵伤害修正:4.8:数值:0:0</t>
  </si>
  <si>
    <t>射手系英灵伤害修正:4.9:数值:0:0</t>
  </si>
  <si>
    <t>射手系英灵伤害修正:5:数值:0:0</t>
  </si>
  <si>
    <t>射手系英灵伤害修正:5.1:数值:0:0</t>
  </si>
  <si>
    <t>射手系英灵伤害修正:5.2:数值:0:0</t>
  </si>
  <si>
    <t>射手系英灵伤害修正:5.3:数值:0:0</t>
  </si>
  <si>
    <t>射手系英灵伤害修正:5.4:数值:0:0</t>
  </si>
  <si>
    <t>射手系英灵伤害修正:5.5:数值:0:0</t>
  </si>
  <si>
    <t>103</t>
  </si>
  <si>
    <t>法师共鸣</t>
  </si>
  <si>
    <t>MageEnergy</t>
  </si>
  <si>
    <t>法师系英灵伤害+</t>
  </si>
  <si>
    <t>法师系英灵伤害修正:0.01:数值:0:0</t>
  </si>
  <si>
    <t>法师系英灵伤害修正:0.02:数值:0:0</t>
  </si>
  <si>
    <t>法师系英灵伤害修正:0.03:数值:0:0</t>
  </si>
  <si>
    <t>法师系英灵伤害修正:0.04:数值:0:0</t>
  </si>
  <si>
    <t>法师系英灵伤害修正:0.05:数值:0:0</t>
  </si>
  <si>
    <t>法师系英灵伤害修正:0.06:数值:0:0</t>
  </si>
  <si>
    <t>法师系英灵伤害修正:0.07:数值:0:0</t>
  </si>
  <si>
    <t>法师系英灵伤害修正:0.08:数值:0:0</t>
  </si>
  <si>
    <t>法师系英灵伤害修正:0.09:数值:0:0</t>
  </si>
  <si>
    <t>法师系英灵伤害修正:0.1:数值:0:0</t>
  </si>
  <si>
    <t>法师系英灵伤害修正:0.12:数值:0:0</t>
  </si>
  <si>
    <t>法师系英灵伤害修正:0.14:数值:0:0</t>
  </si>
  <si>
    <t>法师系英灵伤害修正:0.16:数值:0:0</t>
  </si>
  <si>
    <t>法师系英灵伤害修正:0.18:数值:0:0</t>
  </si>
  <si>
    <t>法师系英灵伤害修正:0.2:数值:0:0</t>
  </si>
  <si>
    <t>法师系英灵伤害修正:0.22:数值:0:0</t>
  </si>
  <si>
    <t>法师系英灵伤害修正:0.24:数值:0:0</t>
  </si>
  <si>
    <t>法师系英灵伤害修正:0.26:数值:0:0</t>
  </si>
  <si>
    <t>法师系英灵伤害修正:0.28:数值:0:0</t>
  </si>
  <si>
    <t>法师系英灵伤害修正:0.3:数值:0:0</t>
  </si>
  <si>
    <t>法师系英灵伤害修正:0.33:数值:0:0</t>
  </si>
  <si>
    <t>法师系英灵伤害修正:0.36:数值:0:0</t>
  </si>
  <si>
    <t>法师系英灵伤害修正:0.39:数值:0:0</t>
  </si>
  <si>
    <t>法师系英灵伤害修正:0.42:数值:0:0</t>
  </si>
  <si>
    <t>法师系英灵伤害修正:0.45:数值:0:0</t>
  </si>
  <si>
    <t>法师系英灵伤害修正:0.48:数值:0:0</t>
  </si>
  <si>
    <t>法师系英灵伤害修正:0.51:数值:0:0</t>
  </si>
  <si>
    <t>法师系英灵伤害修正:0.54:数值:0:0</t>
  </si>
  <si>
    <t>法师系英灵伤害修正:0.57:数值:0:0</t>
  </si>
  <si>
    <t>法师系英灵伤害修正:0.6:数值:0:0</t>
  </si>
  <si>
    <t>法师系英灵伤害修正:0.64:数值:0:0</t>
  </si>
  <si>
    <t>法师系英灵伤害修正:0.68:数值:0:0</t>
  </si>
  <si>
    <t>法师系英灵伤害修正:0.72:数值:0:0</t>
  </si>
  <si>
    <t>法师系英灵伤害修正:0.76:数值:0:0</t>
  </si>
  <si>
    <t>法师系英灵伤害修正:0.8:数值:0:0</t>
  </si>
  <si>
    <t>法师系英灵伤害修正:0.84:数值:0:0</t>
  </si>
  <si>
    <t>法师系英灵伤害修正:0.88:数值:0:0</t>
  </si>
  <si>
    <t>法师系英灵伤害修正:0.92:数值:0:0</t>
  </si>
  <si>
    <t>法师系英灵伤害修正:0.96:数值:0:0</t>
  </si>
  <si>
    <t>法师系英灵伤害修正:1:数值:0:0</t>
  </si>
  <si>
    <t>法师系英灵伤害修正:1.05:数值:0:0</t>
  </si>
  <si>
    <t>法师系英灵伤害修正:1.1:数值:0:0</t>
  </si>
  <si>
    <t>法师系英灵伤害修正:1.15:数值:0:0</t>
  </si>
  <si>
    <t>法师系英灵伤害修正:1.2:数值:0:0</t>
  </si>
  <si>
    <t>法师系英灵伤害修正:1.25:数值:0:0</t>
  </si>
  <si>
    <t>法师系英灵伤害修正:1.3:数值:0:0</t>
  </si>
  <si>
    <t>法师系英灵伤害修正:1.35:数值:0:0</t>
  </si>
  <si>
    <t>法师系英灵伤害修正:1.4:数值:0:0</t>
  </si>
  <si>
    <t>法师系英灵伤害修正:1.45:数值:0:0</t>
  </si>
  <si>
    <t>法师系英灵伤害修正:1.5:数值:0:0</t>
  </si>
  <si>
    <t>法师系英灵伤害修正:1.56:数值:0:0</t>
  </si>
  <si>
    <t>法师系英灵伤害修正:1.62:数值:0:0</t>
  </si>
  <si>
    <t>法师系英灵伤害修正:1.68:数值:0:0</t>
  </si>
  <si>
    <t>法师系英灵伤害修正:1.74:数值:0:0</t>
  </si>
  <si>
    <t>法师系英灵伤害修正:1.8:数值:0:0</t>
  </si>
  <si>
    <t>法师系英灵伤害修正:1.86:数值:0:0</t>
  </si>
  <si>
    <t>法师系英灵伤害修正:1.92:数值:0:0</t>
  </si>
  <si>
    <t>法师系英灵伤害修正:1.98:数值:0:0</t>
  </si>
  <si>
    <t>法师系英灵伤害修正:2.04:数值:0:0</t>
  </si>
  <si>
    <t>法师系英灵伤害修正:2.1:数值:0:0</t>
  </si>
  <si>
    <t>法师系英灵伤害修正:2.17:数值:0:0</t>
  </si>
  <si>
    <t>法师系英灵伤害修正:2.24:数值:0:0</t>
  </si>
  <si>
    <t>法师系英灵伤害修正:2.31:数值:0:0</t>
  </si>
  <si>
    <t>法师系英灵伤害修正:2.38:数值:0:0</t>
  </si>
  <si>
    <t>法师系英灵伤害修正:2.45:数值:0:0</t>
  </si>
  <si>
    <t>法师系英灵伤害修正:2.52:数值:0:0</t>
  </si>
  <si>
    <t>法师系英灵伤害修正:2.59:数值:0:0</t>
  </si>
  <si>
    <t>法师系英灵伤害修正:2.66:数值:0:0</t>
  </si>
  <si>
    <t>法师系英灵伤害修正:2.73:数值:0:0</t>
  </si>
  <si>
    <t>法师系英灵伤害修正:2.8:数值:0:0</t>
  </si>
  <si>
    <t>法师系英灵伤害修正:2.88:数值:0:0</t>
  </si>
  <si>
    <t>法师系英灵伤害修正:2.96:数值:0:0</t>
  </si>
  <si>
    <t>法师系英灵伤害修正:3.04:数值:0:0</t>
  </si>
  <si>
    <t>法师系英灵伤害修正:3.12:数值:0:0</t>
  </si>
  <si>
    <t>法师系英灵伤害修正:3.2:数值:0:0</t>
  </si>
  <si>
    <t>法师系英灵伤害修正:3.28:数值:0:0</t>
  </si>
  <si>
    <t>法师系英灵伤害修正:3.36:数值:0:0</t>
  </si>
  <si>
    <t>法师系英灵伤害修正:3.44:数值:0:0</t>
  </si>
  <si>
    <t>法师系英灵伤害修正:3.52:数值:0:0</t>
  </si>
  <si>
    <t>法师系英灵伤害修正:3.6:数值:0:0</t>
  </si>
  <si>
    <t>法师系英灵伤害修正:3.69:数值:0:0</t>
  </si>
  <si>
    <t>法师系英灵伤害修正:3.78:数值:0:0</t>
  </si>
  <si>
    <t>法师系英灵伤害修正:3.87:数值:0:0</t>
  </si>
  <si>
    <t>法师系英灵伤害修正:3.96:数值:0:0</t>
  </si>
  <si>
    <t>法师系英灵伤害修正:4.05:数值:0:0</t>
  </si>
  <si>
    <t>法师系英灵伤害修正:4.14:数值:0:0</t>
  </si>
  <si>
    <t>法师系英灵伤害修正:4.23:数值:0:0</t>
  </si>
  <si>
    <t>法师系英灵伤害修正:4.32:数值:0:0</t>
  </si>
  <si>
    <t>法师系英灵伤害修正:4.41:数值:0:0</t>
  </si>
  <si>
    <t>法师系英灵伤害修正:4.5:数值:0:0</t>
  </si>
  <si>
    <t>法师系英灵伤害修正:4.6:数值:0:0</t>
  </si>
  <si>
    <t>法师系英灵伤害修正:4.7:数值:0:0</t>
  </si>
  <si>
    <t>法师系英灵伤害修正:4.8:数值:0:0</t>
  </si>
  <si>
    <t>法师系英灵伤害修正:4.9:数值:0:0</t>
  </si>
  <si>
    <t>法师系英灵伤害修正:5:数值:0:0</t>
  </si>
  <si>
    <t>法师系英灵伤害修正:5.1:数值:0:0</t>
  </si>
  <si>
    <t>法师系英灵伤害修正:5.2:数值:0:0</t>
  </si>
  <si>
    <t>法师系英灵伤害修正:5.3:数值:0:0</t>
  </si>
  <si>
    <t>法师系英灵伤害修正:5.4:数值:0:0</t>
  </si>
  <si>
    <t>法师系英灵伤害修正:5.5:数值:0:0</t>
  </si>
  <si>
    <t>104</t>
  </si>
  <si>
    <t>刺客共鸣</t>
  </si>
  <si>
    <t>ShadowEnergy</t>
  </si>
  <si>
    <t>刺客系英灵伤害+</t>
  </si>
  <si>
    <t>刺客系英灵伤害修正:0.01:数值:0:0</t>
  </si>
  <si>
    <t>刺客系英灵伤害修正:0.02:数值:0:0</t>
  </si>
  <si>
    <t>刺客系英灵伤害修正:0.03:数值:0:0</t>
  </si>
  <si>
    <t>刺客系英灵伤害修正:0.04:数值:0:0</t>
  </si>
  <si>
    <t>刺客系英灵伤害修正:0.05:数值:0:0</t>
  </si>
  <si>
    <t>刺客系英灵伤害修正:0.06:数值:0:0</t>
  </si>
  <si>
    <t>刺客系英灵伤害修正:0.07:数值:0:0</t>
  </si>
  <si>
    <t>刺客系英灵伤害修正:0.08:数值:0:0</t>
  </si>
  <si>
    <t>刺客系英灵伤害修正:0.09:数值:0:0</t>
  </si>
  <si>
    <t>刺客系英灵伤害修正:0.1:数值:0:0</t>
  </si>
  <si>
    <t>刺客系英灵伤害修正:0.12:数值:0:0</t>
  </si>
  <si>
    <t>刺客系英灵伤害修正:0.14:数值:0:0</t>
  </si>
  <si>
    <t>刺客系英灵伤害修正:0.16:数值:0:0</t>
  </si>
  <si>
    <t>刺客系英灵伤害修正:0.18:数值:0:0</t>
  </si>
  <si>
    <t>刺客系英灵伤害修正:0.2:数值:0:0</t>
  </si>
  <si>
    <t>刺客系英灵伤害修正:0.22:数值:0:0</t>
  </si>
  <si>
    <t>刺客系英灵伤害修正:0.24:数值:0:0</t>
  </si>
  <si>
    <t>刺客系英灵伤害修正:0.26:数值:0:0</t>
  </si>
  <si>
    <t>刺客系英灵伤害修正:0.28:数值:0:0</t>
  </si>
  <si>
    <t>刺客系英灵伤害修正:0.3:数值:0:0</t>
  </si>
  <si>
    <t>刺客系英灵伤害修正:0.33:数值:0:0</t>
  </si>
  <si>
    <t>刺客系英灵伤害修正:0.36:数值:0:0</t>
  </si>
  <si>
    <t>刺客系英灵伤害修正:0.39:数值:0:0</t>
  </si>
  <si>
    <t>刺客系英灵伤害修正:0.42:数值:0:0</t>
  </si>
  <si>
    <t>刺客系英灵伤害修正:0.45:数值:0:0</t>
  </si>
  <si>
    <t>刺客系英灵伤害修正:0.48:数值:0:0</t>
  </si>
  <si>
    <t>刺客系英灵伤害修正:0.51:数值:0:0</t>
  </si>
  <si>
    <t>刺客系英灵伤害修正:0.54:数值:0:0</t>
  </si>
  <si>
    <t>刺客系英灵伤害修正:0.57:数值:0:0</t>
  </si>
  <si>
    <t>刺客系英灵伤害修正:0.6:数值:0:0</t>
  </si>
  <si>
    <t>刺客系英灵伤害修正:0.64:数值:0:0</t>
  </si>
  <si>
    <t>刺客系英灵伤害修正:0.68:数值:0:0</t>
  </si>
  <si>
    <t>刺客系英灵伤害修正:0.72:数值:0:0</t>
  </si>
  <si>
    <t>刺客系英灵伤害修正:0.76:数值:0:0</t>
  </si>
  <si>
    <t>刺客系英灵伤害修正:0.8:数值:0:0</t>
  </si>
  <si>
    <t>刺客系英灵伤害修正:0.84:数值:0:0</t>
  </si>
  <si>
    <t>刺客系英灵伤害修正:0.88:数值:0:0</t>
  </si>
  <si>
    <t>刺客系英灵伤害修正:0.92:数值:0:0</t>
  </si>
  <si>
    <t>刺客系英灵伤害修正:0.96:数值:0:0</t>
  </si>
  <si>
    <t>刺客系英灵伤害修正:1:数值:0:0</t>
  </si>
  <si>
    <t>刺客系英灵伤害修正:1.05:数值:0:0</t>
  </si>
  <si>
    <t>刺客系英灵伤害修正:1.1:数值:0:0</t>
  </si>
  <si>
    <t>刺客系英灵伤害修正:1.15:数值:0:0</t>
  </si>
  <si>
    <t>刺客系英灵伤害修正:1.2:数值:0:0</t>
  </si>
  <si>
    <t>刺客系英灵伤害修正:1.25:数值:0:0</t>
  </si>
  <si>
    <t>刺客系英灵伤害修正:1.3:数值:0:0</t>
  </si>
  <si>
    <t>刺客系英灵伤害修正:1.35:数值:0:0</t>
  </si>
  <si>
    <t>刺客系英灵伤害修正:1.4:数值:0:0</t>
  </si>
  <si>
    <t>刺客系英灵伤害修正:1.45:数值:0:0</t>
  </si>
  <si>
    <t>刺客系英灵伤害修正:1.5:数值:0:0</t>
  </si>
  <si>
    <t>刺客系英灵伤害修正:1.56:数值:0:0</t>
  </si>
  <si>
    <t>刺客系英灵伤害修正:1.62:数值:0:0</t>
  </si>
  <si>
    <t>刺客系英灵伤害修正:1.68:数值:0:0</t>
  </si>
  <si>
    <t>刺客系英灵伤害修正:1.74:数值:0:0</t>
  </si>
  <si>
    <t>刺客系英灵伤害修正:1.8:数值:0:0</t>
  </si>
  <si>
    <t>刺客系英灵伤害修正:1.86:数值:0:0</t>
  </si>
  <si>
    <t>刺客系英灵伤害修正:1.92:数值:0:0</t>
  </si>
  <si>
    <t>刺客系英灵伤害修正:1.98:数值:0:0</t>
  </si>
  <si>
    <t>刺客系英灵伤害修正:2.04:数值:0:0</t>
  </si>
  <si>
    <t>刺客系英灵伤害修正:2.1:数值:0:0</t>
  </si>
  <si>
    <t>刺客系英灵伤害修正:2.17:数值:0:0</t>
  </si>
  <si>
    <t>刺客系英灵伤害修正:2.24:数值:0:0</t>
  </si>
  <si>
    <t>刺客系英灵伤害修正:2.31:数值:0:0</t>
  </si>
  <si>
    <t>刺客系英灵伤害修正:2.38:数值:0:0</t>
  </si>
  <si>
    <t>刺客系英灵伤害修正:2.45:数值:0:0</t>
  </si>
  <si>
    <t>刺客系英灵伤害修正:2.52:数值:0:0</t>
  </si>
  <si>
    <t>刺客系英灵伤害修正:2.59:数值:0:0</t>
  </si>
  <si>
    <t>刺客系英灵伤害修正:2.66:数值:0:0</t>
  </si>
  <si>
    <t>刺客系英灵伤害修正:2.73:数值:0:0</t>
  </si>
  <si>
    <t>刺客系英灵伤害修正:2.8:数值:0:0</t>
  </si>
  <si>
    <t>刺客系英灵伤害修正:2.88:数值:0:0</t>
  </si>
  <si>
    <t>刺客系英灵伤害修正:2.96:数值:0:0</t>
  </si>
  <si>
    <t>刺客系英灵伤害修正:3.04:数值:0:0</t>
  </si>
  <si>
    <t>刺客系英灵伤害修正:3.12:数值:0:0</t>
  </si>
  <si>
    <t>刺客系英灵伤害修正:3.2:数值:0:0</t>
  </si>
  <si>
    <t>刺客系英灵伤害修正:3.28:数值:0:0</t>
  </si>
  <si>
    <t>刺客系英灵伤害修正:3.36:数值:0:0</t>
  </si>
  <si>
    <t>刺客系英灵伤害修正:3.44:数值:0:0</t>
  </si>
  <si>
    <t>刺客系英灵伤害修正:3.52:数值:0:0</t>
  </si>
  <si>
    <t>刺客系英灵伤害修正:3.6:数值:0:0</t>
  </si>
  <si>
    <t>刺客系英灵伤害修正:3.69:数值:0:0</t>
  </si>
  <si>
    <t>刺客系英灵伤害修正:3.78:数值:0:0</t>
  </si>
  <si>
    <t>刺客系英灵伤害修正:3.87:数值:0:0</t>
  </si>
  <si>
    <t>刺客系英灵伤害修正:3.96:数值:0:0</t>
  </si>
  <si>
    <t>刺客系英灵伤害修正:4.05:数值:0:0</t>
  </si>
  <si>
    <t>刺客系英灵伤害修正:4.14:数值:0:0</t>
  </si>
  <si>
    <t>刺客系英灵伤害修正:4.23:数值:0:0</t>
  </si>
  <si>
    <t>刺客系英灵伤害修正:4.32:数值:0:0</t>
  </si>
  <si>
    <t>刺客系英灵伤害修正:4.41:数值:0:0</t>
  </si>
  <si>
    <t>刺客系英灵伤害修正:4.5:数值:0:0</t>
  </si>
  <si>
    <t>刺客系英灵伤害修正:4.6:数值:0:0</t>
  </si>
  <si>
    <t>刺客系英灵伤害修正:4.7:数值:0:0</t>
  </si>
  <si>
    <t>刺客系英灵伤害修正:4.8:数值:0:0</t>
  </si>
  <si>
    <t>刺客系英灵伤害修正:4.9:数值:0:0</t>
  </si>
  <si>
    <t>刺客系英灵伤害修正:5:数值:0:0</t>
  </si>
  <si>
    <t>刺客系英灵伤害修正:5.1:数值:0:0</t>
  </si>
  <si>
    <t>刺客系英灵伤害修正:5.2:数值:0:0</t>
  </si>
  <si>
    <t>刺客系英灵伤害修正:5.3:数值:0:0</t>
  </si>
  <si>
    <t>刺客系英灵伤害修正:5.4:数值:0:0</t>
  </si>
  <si>
    <t>刺客系英灵伤害修正:5.5:数值:0:0</t>
  </si>
  <si>
    <t>105</t>
  </si>
  <si>
    <t>辅助共鸣</t>
  </si>
  <si>
    <t>DivineEnergy</t>
  </si>
  <si>
    <t>辅助系英灵技能效果+</t>
  </si>
  <si>
    <t>辅助系英灵伤害修正:0.01:数值:0:0</t>
  </si>
  <si>
    <t>辅助系英灵伤害修正:0.02:数值:0:0</t>
  </si>
  <si>
    <t>辅助系英灵伤害修正:0.03:数值:0:0</t>
  </si>
  <si>
    <t>辅助系英灵伤害修正:0.04:数值:0:0</t>
  </si>
  <si>
    <t>辅助系英灵伤害修正:0.05:数值:0:0</t>
  </si>
  <si>
    <t>辅助系英灵伤害修正:0.06:数值:0:0</t>
  </si>
  <si>
    <t>辅助系英灵伤害修正:0.07:数值:0:0</t>
  </si>
  <si>
    <t>辅助系英灵伤害修正:0.08:数值:0:0</t>
  </si>
  <si>
    <t>辅助系英灵伤害修正:0.09:数值:0:0</t>
  </si>
  <si>
    <t>辅助系英灵伤害修正:0.1:数值:0:0</t>
  </si>
  <si>
    <t>辅助系英灵伤害修正:0.12:数值:0:0</t>
  </si>
  <si>
    <t>辅助系英灵伤害修正:0.14:数值:0:0</t>
  </si>
  <si>
    <t>辅助系英灵伤害修正:0.16:数值:0:0</t>
  </si>
  <si>
    <t>辅助系英灵伤害修正:0.18:数值:0:0</t>
  </si>
  <si>
    <t>辅助系英灵伤害修正:0.2:数值:0:0</t>
  </si>
  <si>
    <t>辅助系英灵伤害修正:0.22:数值:0:0</t>
  </si>
  <si>
    <t>辅助系英灵伤害修正:0.24:数值:0:0</t>
  </si>
  <si>
    <t>辅助系英灵伤害修正:0.26:数值:0:0</t>
  </si>
  <si>
    <t>辅助系英灵伤害修正:0.28:数值:0:0</t>
  </si>
  <si>
    <t>辅助系英灵伤害修正:0.3:数值:0:0</t>
  </si>
  <si>
    <t>辅助系英灵伤害修正:0.33:数值:0:0</t>
  </si>
  <si>
    <t>辅助系英灵伤害修正:0.36:数值:0:0</t>
  </si>
  <si>
    <t>辅助系英灵伤害修正:0.39:数值:0:0</t>
  </si>
  <si>
    <t>辅助系英灵伤害修正:0.42:数值:0:0</t>
  </si>
  <si>
    <t>辅助系英灵伤害修正:0.45:数值:0:0</t>
  </si>
  <si>
    <t>辅助系英灵伤害修正:0.48:数值:0:0</t>
  </si>
  <si>
    <t>辅助系英灵伤害修正:0.51:数值:0:0</t>
  </si>
  <si>
    <t>辅助系英灵伤害修正:0.54:数值:0:0</t>
  </si>
  <si>
    <t>辅助系英灵伤害修正:0.57:数值:0:0</t>
  </si>
  <si>
    <t>辅助系英灵伤害修正:0.6:数值:0:0</t>
  </si>
  <si>
    <t>辅助系英灵伤害修正:0.64:数值:0:0</t>
  </si>
  <si>
    <t>辅助系英灵伤害修正:0.68:数值:0:0</t>
  </si>
  <si>
    <t>辅助系英灵伤害修正:0.72:数值:0:0</t>
  </si>
  <si>
    <t>辅助系英灵伤害修正:0.76:数值:0:0</t>
  </si>
  <si>
    <t>辅助系英灵伤害修正:0.8:数值:0:0</t>
  </si>
  <si>
    <t>辅助系英灵伤害修正:0.84:数值:0:0</t>
  </si>
  <si>
    <t>辅助系英灵伤害修正:0.88:数值:0:0</t>
  </si>
  <si>
    <t>辅助系英灵伤害修正:0.92:数值:0:0</t>
  </si>
  <si>
    <t>辅助系英灵伤害修正:0.96:数值:0:0</t>
  </si>
  <si>
    <t>辅助系英灵伤害修正:1:数值:0:0</t>
  </si>
  <si>
    <t>辅助系英灵伤害修正:1.05:数值:0:0</t>
  </si>
  <si>
    <t>辅助系英灵伤害修正:1.1:数值:0:0</t>
  </si>
  <si>
    <t>辅助系英灵伤害修正:1.15:数值:0:0</t>
  </si>
  <si>
    <t>辅助系英灵伤害修正:1.2:数值:0:0</t>
  </si>
  <si>
    <t>辅助系英灵伤害修正:1.25:数值:0:0</t>
  </si>
  <si>
    <t>辅助系英灵伤害修正:1.3:数值:0:0</t>
  </si>
  <si>
    <t>辅助系英灵伤害修正:1.35:数值:0:0</t>
  </si>
  <si>
    <t>辅助系英灵伤害修正:1.4:数值:0:0</t>
  </si>
  <si>
    <t>辅助系英灵伤害修正:1.45:数值:0:0</t>
  </si>
  <si>
    <t>辅助系英灵伤害修正:1.5:数值:0:0</t>
  </si>
  <si>
    <t>辅助系英灵伤害修正:1.56:数值:0:0</t>
  </si>
  <si>
    <t>辅助系英灵伤害修正:1.62:数值:0:0</t>
  </si>
  <si>
    <t>辅助系英灵伤害修正:1.68:数值:0:0</t>
  </si>
  <si>
    <t>辅助系英灵伤害修正:1.74:数值:0:0</t>
  </si>
  <si>
    <t>辅助系英灵伤害修正:1.8:数值:0:0</t>
  </si>
  <si>
    <t>辅助系英灵伤害修正:1.86:数值:0:0</t>
  </si>
  <si>
    <t>辅助系英灵伤害修正:1.92:数值:0:0</t>
  </si>
  <si>
    <t>辅助系英灵伤害修正:1.98:数值:0:0</t>
  </si>
  <si>
    <t>辅助系英灵伤害修正:2.04:数值:0:0</t>
  </si>
  <si>
    <t>辅助系英灵伤害修正:2.1:数值:0:0</t>
  </si>
  <si>
    <t>辅助系英灵伤害修正:2.17:数值:0:0</t>
  </si>
  <si>
    <t>辅助系英灵伤害修正:2.24:数值:0:0</t>
  </si>
  <si>
    <t>辅助系英灵伤害修正:2.31:数值:0:0</t>
  </si>
  <si>
    <t>辅助系英灵伤害修正:2.38:数值:0:0</t>
  </si>
  <si>
    <t>辅助系英灵伤害修正:2.45:数值:0:0</t>
  </si>
  <si>
    <t>辅助系英灵伤害修正:2.52:数值:0:0</t>
  </si>
  <si>
    <t>辅助系英灵伤害修正:2.59:数值:0:0</t>
  </si>
  <si>
    <t>辅助系英灵伤害修正:2.66:数值:0:0</t>
  </si>
  <si>
    <t>辅助系英灵伤害修正:2.73:数值:0:0</t>
  </si>
  <si>
    <t>辅助系英灵伤害修正:2.8:数值:0:0</t>
  </si>
  <si>
    <t>辅助系英灵伤害修正:2.88:数值:0:0</t>
  </si>
  <si>
    <t>辅助系英灵伤害修正:2.96:数值:0:0</t>
  </si>
  <si>
    <t>辅助系英灵伤害修正:3.04:数值:0:0</t>
  </si>
  <si>
    <t>辅助系英灵伤害修正:3.12:数值:0:0</t>
  </si>
  <si>
    <t>辅助系英灵伤害修正:3.2:数值:0:0</t>
  </si>
  <si>
    <t>辅助系英灵伤害修正:3.28:数值:0:0</t>
  </si>
  <si>
    <t>辅助系英灵伤害修正:3.36:数值:0:0</t>
  </si>
  <si>
    <t>辅助系英灵伤害修正:3.44:数值:0:0</t>
  </si>
  <si>
    <t>辅助系英灵伤害修正:3.52:数值:0:0</t>
  </si>
  <si>
    <t>辅助系英灵伤害修正:3.6:数值:0:0</t>
  </si>
  <si>
    <t>辅助系英灵伤害修正:3.69:数值:0:0</t>
  </si>
  <si>
    <t>辅助系英灵伤害修正:3.78:数值:0:0</t>
  </si>
  <si>
    <t>辅助系英灵伤害修正:3.87:数值:0:0</t>
  </si>
  <si>
    <t>辅助系英灵伤害修正:3.96:数值:0:0</t>
  </si>
  <si>
    <t>辅助系英灵伤害修正:4.05:数值:0:0</t>
  </si>
  <si>
    <t>辅助系英灵伤害修正:4.14:数值:0:0</t>
  </si>
  <si>
    <t>辅助系英灵伤害修正:4.23:数值:0:0</t>
  </si>
  <si>
    <t>辅助系英灵伤害修正:4.32:数值:0:0</t>
  </si>
  <si>
    <t>辅助系英灵伤害修正:4.41:数值:0:0</t>
  </si>
  <si>
    <t>辅助系英灵伤害修正:4.5:数值:0:0</t>
  </si>
  <si>
    <t>辅助系英灵伤害修正:4.6:数值:0:0</t>
  </si>
  <si>
    <t>辅助系英灵伤害修正:4.7:数值:0:0</t>
  </si>
  <si>
    <t>辅助系英灵伤害修正:4.8:数值:0:0</t>
  </si>
  <si>
    <t>辅助系英灵伤害修正:4.9:数值:0:0</t>
  </si>
  <si>
    <t>辅助系英灵伤害修正:5:数值:0:0</t>
  </si>
  <si>
    <t>辅助系英灵伤害修正:5.1:数值:0:0</t>
  </si>
  <si>
    <t>辅助系英灵伤害修正:5.2:数值:0:0</t>
  </si>
  <si>
    <t>辅助系英灵伤害修正:5.3:数值:0:0</t>
  </si>
  <si>
    <t>辅助系英灵伤害修正:5.4:数值:0:0</t>
  </si>
  <si>
    <t>辅助系英灵伤害修正:5.5:数值:0:0</t>
  </si>
  <si>
    <t>106</t>
  </si>
  <si>
    <t>技能共鸣</t>
  </si>
  <si>
    <t>TotalEnergy</t>
  </si>
  <si>
    <t>所有英灵技能伤害+</t>
  </si>
  <si>
    <t>技能伤害修正:0.005:数值:0:0</t>
  </si>
  <si>
    <t>&lt;color=#FFFF00&gt;0.5%&lt;/color&gt;</t>
  </si>
  <si>
    <t>技能伤害修正:0.01:数值:0:0</t>
  </si>
  <si>
    <t>技能伤害修正:0.015:数值:0:0</t>
  </si>
  <si>
    <t>&lt;color=#FFFF00&gt;1.5%&lt;/color&gt;</t>
  </si>
  <si>
    <t>技能伤害修正:0.02:数值:0:0</t>
  </si>
  <si>
    <t>技能伤害修正:0.025:数值:0:0</t>
  </si>
  <si>
    <t>&lt;color=#FFFF00&gt;2.5%&lt;/color&gt;</t>
  </si>
  <si>
    <t>技能伤害修正:0.03:数值:0:0</t>
  </si>
  <si>
    <t>技能伤害修正:0.035:数值:0:0</t>
  </si>
  <si>
    <t>&lt;color=#FFFF00&gt;3.5%&lt;/color&gt;</t>
  </si>
  <si>
    <t>技能伤害修正:0.04:数值:0:0</t>
  </si>
  <si>
    <t>技能伤害修正:0.045:数值:0:0</t>
  </si>
  <si>
    <t>&lt;color=#FFFF00&gt;4.5%&lt;/color&gt;</t>
  </si>
  <si>
    <t>技能伤害修正:0.05:数值:0:0</t>
  </si>
  <si>
    <t>技能伤害修正:0.06:数值:0:0</t>
  </si>
  <si>
    <t>技能伤害修正:0.07:数值:0:0</t>
  </si>
  <si>
    <t>技能伤害修正:0.08:数值:0:0</t>
  </si>
  <si>
    <t>技能伤害修正:0.09:数值:0:0</t>
  </si>
  <si>
    <t>技能伤害修正:0.1:数值:0:0</t>
  </si>
  <si>
    <t>技能伤害修正:0.11:数值:0:0</t>
  </si>
  <si>
    <t>&lt;color=#FFFF00&gt;11%&lt;/color&gt;</t>
  </si>
  <si>
    <t>技能伤害修正:0.12:数值:0:0</t>
  </si>
  <si>
    <t>技能伤害修正:0.13:数值:0:0</t>
  </si>
  <si>
    <t>&lt;color=#FFFF00&gt;13%&lt;/color&gt;</t>
  </si>
  <si>
    <t>技能伤害修正:0.14:数值:0:0</t>
  </si>
  <si>
    <t>技能伤害修正:0.15:数值:0:0</t>
  </si>
  <si>
    <t>&lt;color=#FFFF00&gt;15%&lt;/color&gt;</t>
  </si>
  <si>
    <t>技能伤害修正:0.165:数值:0:0</t>
  </si>
  <si>
    <t>&lt;color=#FFFF00&gt;16.5%&lt;/color&gt;</t>
  </si>
  <si>
    <t>技能伤害修正:0.18:数值:0:0</t>
  </si>
  <si>
    <t>技能伤害修正:0.195:数值:0:0</t>
  </si>
  <si>
    <t>&lt;color=#FFFF00&gt;19.5%&lt;/color&gt;</t>
  </si>
  <si>
    <t>技能伤害修正:0.21:数值:0:0</t>
  </si>
  <si>
    <t>&lt;color=#FFFF00&gt;21%&lt;/color&gt;</t>
  </si>
  <si>
    <t>技能伤害修正:0.225:数值:0:0</t>
  </si>
  <si>
    <t>&lt;color=#FFFF00&gt;22.5%&lt;/color&gt;</t>
  </si>
  <si>
    <t>技能伤害修正:0.24:数值:0:0</t>
  </si>
  <si>
    <t>技能伤害修正:0.255:数值:0:0</t>
  </si>
  <si>
    <t>&lt;color=#FFFF00&gt;25.5%&lt;/color&gt;</t>
  </si>
  <si>
    <t>技能伤害修正:0.27:数值:0:0</t>
  </si>
  <si>
    <t>&lt;color=#FFFF00&gt;27%&lt;/color&gt;</t>
  </si>
  <si>
    <t>技能伤害修正:0.285:数值:0:0</t>
  </si>
  <si>
    <t>&lt;color=#FFFF00&gt;28.5%&lt;/color&gt;</t>
  </si>
  <si>
    <t>技能伤害修正:0.3:数值:0:0</t>
  </si>
  <si>
    <t>技能伤害修正:0.32:数值:0:0</t>
  </si>
  <si>
    <t>&lt;color=#FFFF00&gt;32%&lt;/color&gt;</t>
  </si>
  <si>
    <t>技能伤害修正:0.34:数值:0:0</t>
  </si>
  <si>
    <t>&lt;color=#FFFF00&gt;34%&lt;/color&gt;</t>
  </si>
  <si>
    <t>技能伤害修正:0.36:数值:0:0</t>
  </si>
  <si>
    <t>技能伤害修正:0.38:数值:0:0</t>
  </si>
  <si>
    <t>&lt;color=#FFFF00&gt;38%&lt;/color&gt;</t>
  </si>
  <si>
    <t>技能伤害修正:0.4:数值:0:0</t>
  </si>
  <si>
    <t>&lt;color=#FFFF00&gt;40%&lt;/color&gt;</t>
  </si>
  <si>
    <t>技能伤害修正:0.42:数值:0:0</t>
  </si>
  <si>
    <t>技能伤害修正:0.44:数值:0:0</t>
  </si>
  <si>
    <t>&lt;color=#FFFF00&gt;44%&lt;/color&gt;</t>
  </si>
  <si>
    <t>技能伤害修正:0.46:数值:0:0</t>
  </si>
  <si>
    <t>&lt;color=#FFFF00&gt;46%&lt;/color&gt;</t>
  </si>
  <si>
    <t>技能伤害修正:0.48:数值:0:0</t>
  </si>
  <si>
    <t>技能伤害修正:0.5:数值:0:0</t>
  </si>
  <si>
    <t>&lt;color=#FFFF00&gt;50%&lt;/color&gt;</t>
  </si>
  <si>
    <t>技能伤害修正:0.525:数值:0:0</t>
  </si>
  <si>
    <t>&lt;color=#FFFF00&gt;52.5%&lt;/color&gt;</t>
  </si>
  <si>
    <t>技能伤害修正:0.55:数值:0:0</t>
  </si>
  <si>
    <t>&lt;color=#FFFF00&gt;55%&lt;/color&gt;</t>
  </si>
  <si>
    <t>技能伤害修正:0.575:数值:0:0</t>
  </si>
  <si>
    <t>&lt;color=#FFFF00&gt;57.5%&lt;/color&gt;</t>
  </si>
  <si>
    <t>技能伤害修正:0.6:数值:0:0</t>
  </si>
  <si>
    <t>技能伤害修正:0.625:数值:0:0</t>
  </si>
  <si>
    <t>&lt;color=#FFFF00&gt;62.5%&lt;/color&gt;</t>
  </si>
  <si>
    <t>技能伤害修正:0.65:数值:0:0</t>
  </si>
  <si>
    <t>&lt;color=#FFFF00&gt;65%&lt;/color&gt;</t>
  </si>
  <si>
    <t>技能伤害修正:0.675:数值:0:0</t>
  </si>
  <si>
    <t>&lt;color=#FFFF00&gt;67.5%&lt;/color&gt;</t>
  </si>
  <si>
    <t>技能伤害修正:0.7:数值:0:0</t>
  </si>
  <si>
    <t>&lt;color=#FFFF00&gt;70%&lt;/color&gt;</t>
  </si>
  <si>
    <t>技能伤害修正:0.725:数值:0:0</t>
  </si>
  <si>
    <t>&lt;color=#FFFF00&gt;72.5%&lt;/color&gt;</t>
  </si>
  <si>
    <t>技能伤害修正:0.75:数值:0:0</t>
  </si>
  <si>
    <t>&lt;color=#FFFF00&gt;75%&lt;/color&gt;</t>
  </si>
  <si>
    <t>技能伤害修正:0.78:数值:0:0</t>
  </si>
  <si>
    <t>&lt;color=#FFFF00&gt;78%&lt;/color&gt;</t>
  </si>
  <si>
    <t>技能伤害修正:0.81:数值:0:0</t>
  </si>
  <si>
    <t>&lt;color=#FFFF00&gt;81%&lt;/color&gt;</t>
  </si>
  <si>
    <t>技能伤害修正:0.84:数值:0:0</t>
  </si>
  <si>
    <t>技能伤害修正:0.87:数值:0:0</t>
  </si>
  <si>
    <t>&lt;color=#FFFF00&gt;87%&lt;/color&gt;</t>
  </si>
  <si>
    <t>技能伤害修正:0.9:数值:0:0</t>
  </si>
  <si>
    <t>&lt;color=#FFFF00&gt;90%&lt;/color&gt;</t>
  </si>
  <si>
    <t>技能伤害修正:0.93:数值:0:0</t>
  </si>
  <si>
    <t>&lt;color=#FFFF00&gt;93%&lt;/color&gt;</t>
  </si>
  <si>
    <t>技能伤害修正:0.96:数值:0:0</t>
  </si>
  <si>
    <t>技能伤害修正:0.99:数值:0:0</t>
  </si>
  <si>
    <t>&lt;color=#FFFF00&gt;99%&lt;/color&gt;</t>
  </si>
  <si>
    <t>技能伤害修正:1.02:数值:0:0</t>
  </si>
  <si>
    <t>&lt;color=#FFFF00&gt;102%&lt;/color&gt;</t>
  </si>
  <si>
    <t>技能伤害修正:1.05:数值:0:0</t>
  </si>
  <si>
    <t>技能伤害修正:1.085:数值:0:0</t>
  </si>
  <si>
    <t>&lt;color=#FFFF00&gt;108.5%&lt;/color&gt;</t>
  </si>
  <si>
    <t>技能伤害修正:1.12:数值:0:0</t>
  </si>
  <si>
    <t>&lt;color=#FFFF00&gt;112%&lt;/color&gt;</t>
  </si>
  <si>
    <t>技能伤害修正:1.155:数值:0:0</t>
  </si>
  <si>
    <t>&lt;color=#FFFF00&gt;115.5%&lt;/color&gt;</t>
  </si>
  <si>
    <t>技能伤害修正:1.19:数值:0:0</t>
  </si>
  <si>
    <t>&lt;color=#FFFF00&gt;119%&lt;/color&gt;</t>
  </si>
  <si>
    <t>技能伤害修正:1.225:数值:0:0</t>
  </si>
  <si>
    <t>&lt;color=#FFFF00&gt;122.5%&lt;/color&gt;</t>
  </si>
  <si>
    <t>技能伤害修正:1.26:数值:0:0</t>
  </si>
  <si>
    <t>&lt;color=#FFFF00&gt;126%&lt;/color&gt;</t>
  </si>
  <si>
    <t>技能伤害修正:1.295:数值:0:0</t>
  </si>
  <si>
    <t>&lt;color=#FFFF00&gt;129.5%&lt;/color&gt;</t>
  </si>
  <si>
    <t>技能伤害修正:1.33:数值:0:0</t>
  </si>
  <si>
    <t>&lt;color=#FFFF00&gt;133%&lt;/color&gt;</t>
  </si>
  <si>
    <t>技能伤害修正:1.365:数值:0:0</t>
  </si>
  <si>
    <t>&lt;color=#FFFF00&gt;136.5%&lt;/color&gt;</t>
  </si>
  <si>
    <t>技能伤害修正:1.4:数值:0:0</t>
  </si>
  <si>
    <t>技能伤害修正:1.44:数值:0:0</t>
  </si>
  <si>
    <t>&lt;color=#FFFF00&gt;144%&lt;/color&gt;</t>
  </si>
  <si>
    <t>技能伤害修正:1.48:数值:0:0</t>
  </si>
  <si>
    <t>&lt;color=#FFFF00&gt;148%&lt;/color&gt;</t>
  </si>
  <si>
    <t>技能伤害修正:1.52:数值:0:0</t>
  </si>
  <si>
    <t>&lt;color=#FFFF00&gt;152%&lt;/color&gt;</t>
  </si>
  <si>
    <t>技能伤害修正:1.56:数值:0:0</t>
  </si>
  <si>
    <t>技能伤害修正:1.6:数值:0:0</t>
  </si>
  <si>
    <t>&lt;color=#FFFF00&gt;160%&lt;/color&gt;</t>
  </si>
  <si>
    <t>技能伤害修正:1.64:数值:0:0</t>
  </si>
  <si>
    <t>&lt;color=#FFFF00&gt;164%&lt;/color&gt;</t>
  </si>
  <si>
    <t>技能伤害修正:1.68:数值:0:0</t>
  </si>
  <si>
    <t>技能伤害修正:1.72:数值:0:0</t>
  </si>
  <si>
    <t>&lt;color=#FFFF00&gt;172%&lt;/color&gt;</t>
  </si>
  <si>
    <t>技能伤害修正:1.76:数值:0:0</t>
  </si>
  <si>
    <t>&lt;color=#FFFF00&gt;176%&lt;/color&gt;</t>
  </si>
  <si>
    <t>技能伤害修正:1.8:数值:0:0</t>
  </si>
  <si>
    <t>技能伤害修正:1.845:数值:0:0</t>
  </si>
  <si>
    <t>&lt;color=#FFFF00&gt;184.5%&lt;/color&gt;</t>
  </si>
  <si>
    <t>技能伤害修正:1.89:数值:0:0</t>
  </si>
  <si>
    <t>&lt;color=#FFFF00&gt;189%&lt;/color&gt;</t>
  </si>
  <si>
    <t>技能伤害修正:1.935:数值:0:0</t>
  </si>
  <si>
    <t>&lt;color=#FFFF00&gt;193.5%&lt;/color&gt;</t>
  </si>
  <si>
    <t>技能伤害修正:1.98:数值:0:0</t>
  </si>
  <si>
    <t>技能伤害修正:2.025:数值:0:0</t>
  </si>
  <si>
    <t>&lt;color=#FFFF00&gt;202.5%&lt;/color&gt;</t>
  </si>
  <si>
    <t>技能伤害修正:2.07:数值:0:0</t>
  </si>
  <si>
    <t>&lt;color=#FFFF00&gt;207%&lt;/color&gt;</t>
  </si>
  <si>
    <t>技能伤害修正:2.115:数值:0:0</t>
  </si>
  <si>
    <t>&lt;color=#FFFF00&gt;211.5%&lt;/color&gt;</t>
  </si>
  <si>
    <t>技能伤害修正:2.16:数值:0:0</t>
  </si>
  <si>
    <t>&lt;color=#FFFF00&gt;216%&lt;/color&gt;</t>
  </si>
  <si>
    <t>技能伤害修正:2.205:数值:0:0</t>
  </si>
  <si>
    <t>&lt;color=#FFFF00&gt;220.5%&lt;/color&gt;</t>
  </si>
  <si>
    <t>技能伤害修正:2.25:数值:0:0</t>
  </si>
  <si>
    <t>&lt;color=#FFFF00&gt;225%&lt;/color&gt;</t>
  </si>
  <si>
    <t>技能伤害修正:2.3:数值:0:0</t>
  </si>
  <si>
    <t>&lt;color=#FFFF00&gt;230%&lt;/color&gt;</t>
  </si>
  <si>
    <t>技能伤害修正:2.35:数值:0:0</t>
  </si>
  <si>
    <t>&lt;color=#FFFF00&gt;235%&lt;/color&gt;</t>
  </si>
  <si>
    <t>技能伤害修正:2.4:数值:0:0</t>
  </si>
  <si>
    <t>&lt;color=#FFFF00&gt;240%&lt;/color&gt;</t>
  </si>
  <si>
    <t>技能伤害修正:2.45:数值:0:0</t>
  </si>
  <si>
    <t>技能伤害修正:2.5:数值:0:0</t>
  </si>
  <si>
    <t>&lt;color=#FFFF00&gt;250%&lt;/color&gt;</t>
  </si>
  <si>
    <t>技能伤害修正:2.55:数值:0:0</t>
  </si>
  <si>
    <t>&lt;color=#FFFF00&gt;255%&lt;/color&gt;</t>
  </si>
  <si>
    <t>技能伤害修正:2.6:数值:0:0</t>
  </si>
  <si>
    <t>&lt;color=#FFFF00&gt;260%&lt;/color&gt;</t>
  </si>
  <si>
    <t>技能伤害修正:2.65:数值:0:0</t>
  </si>
  <si>
    <t>&lt;color=#FFFF00&gt;265%&lt;/color&gt;</t>
  </si>
  <si>
    <t>技能伤害修正:2.7:数值:0:0</t>
  </si>
  <si>
    <t>&lt;color=#FFFF00&gt;270%&lt;/color&gt;</t>
  </si>
  <si>
    <t>技能伤害修正:2.75:数值:0:0</t>
  </si>
  <si>
    <t>&lt;color=#FFFF00&gt;275%&lt;/color&gt;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</si>
</sst>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5"/>
  <sheetViews>
    <sheetView tabSelected="1" topLeftCell="B1" workbookViewId="0">
      <pane ySplit="3" topLeftCell="A579" activePane="bottomLeft" state="frozen"/>
      <selection/>
      <selection pane="bottomLeft" activeCell="M618" sqref="M618"/>
    </sheetView>
  </sheetViews>
  <sheetFormatPr defaultColWidth="9" defaultRowHeight="13.5"/>
  <cols>
    <col min="1" max="1" width="9" style="1"/>
    <col min="2" max="2" width="9.625" style="1" customWidth="1"/>
    <col min="3" max="3" width="10" style="1" customWidth="1"/>
    <col min="4" max="4" width="14" style="1" customWidth="1"/>
    <col min="5" max="5" width="19" style="1" customWidth="1"/>
    <col min="6" max="6" width="5.5" style="1" customWidth="1"/>
    <col min="7" max="7" width="8.5" style="1" customWidth="1"/>
    <col min="8" max="8" width="8.625" style="1" customWidth="1"/>
    <col min="9" max="9" width="12.5" style="1" customWidth="1"/>
    <col min="10" max="10" width="12.375" style="1" customWidth="1"/>
    <col min="11" max="11" width="33.5" style="1" customWidth="1"/>
    <col min="12" max="12" width="44.75" style="1" customWidth="1"/>
    <col min="13" max="13" width="25.5" style="1" customWidth="1"/>
    <col min="14" max="15" width="9" style="1"/>
    <col min="16" max="16" width="1.75" style="1" customWidth="1"/>
    <col min="17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/>
      <c r="K1" s="2"/>
      <c r="L1" s="2"/>
      <c r="M1" s="2"/>
    </row>
    <row r="2" spans="1:13">
      <c r="A2" s="1" t="s">
        <v>6</v>
      </c>
      <c r="G2" s="1" t="s">
        <v>7</v>
      </c>
      <c r="H2" s="1" t="s">
        <v>8</v>
      </c>
      <c r="I2" s="3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5" spans="1:13">
      <c r="B5" s="1" t="s">
        <v>26</v>
      </c>
      <c r="C5" s="1" t="s">
        <v>27</v>
      </c>
      <c r="D5" s="1" t="s">
        <v>28</v>
      </c>
      <c r="E5" s="1" t="s">
        <v>29</v>
      </c>
      <c r="G5" s="1" t="s">
        <v>30</v>
      </c>
      <c r="H5" s="1" t="s">
        <v>31</v>
      </c>
      <c r="I5" s="1" t="s">
        <v>31</v>
      </c>
      <c r="J5" s="1" t="s">
        <v>30</v>
      </c>
      <c r="M5" s="4" t="s">
        <v>32</v>
      </c>
    </row>
    <row r="6" spans="1:13">
      <c r="G6" s="1" t="s">
        <v>31</v>
      </c>
      <c r="H6" s="1" t="s">
        <v>31</v>
      </c>
      <c r="I6" s="3">
        <v>1</v>
      </c>
      <c r="J6" s="3">
        <v>100</v>
      </c>
      <c r="K6" t="str">
        <f>"战士系英灵伤害修正:"&amp;(0.01+(ROW(A2)-2)*0.01)&amp;":数值:0:0"</f>
        <v>战士系英灵伤害修正:0.01:数值:0:0</v>
      </c>
      <c r="L6" t="s">
        <v>33</v>
      </c>
      <c r="M6" s="4" t="s">
        <v>32</v>
      </c>
    </row>
    <row r="7" spans="1:13">
      <c r="G7" s="1" t="s">
        <v>34</v>
      </c>
      <c r="H7" s="1" t="s">
        <v>31</v>
      </c>
      <c r="I7" s="3">
        <v>1</v>
      </c>
      <c r="J7" s="3">
        <v>200</v>
      </c>
      <c r="K7" t="str">
        <f t="shared" ref="K7:K15" si="0">"战士系英灵伤害修正:"&amp;(0.01+(ROW(A3)-2)*0.01)&amp;":数值:0:0"</f>
        <v>战士系英灵伤害修正:0.02:数值:0:0</v>
      </c>
      <c r="L7" t="s">
        <v>35</v>
      </c>
      <c r="M7" s="4" t="s">
        <v>32</v>
      </c>
    </row>
    <row r="8" spans="1:13">
      <c r="G8" s="1" t="s">
        <v>36</v>
      </c>
      <c r="H8" s="1" t="s">
        <v>31</v>
      </c>
      <c r="I8" s="3">
        <v>1</v>
      </c>
      <c r="J8" s="3">
        <v>300</v>
      </c>
      <c r="K8" t="str">
        <f t="shared" si="0"/>
        <v>战士系英灵伤害修正:0.03:数值:0:0</v>
      </c>
      <c r="L8" t="s">
        <v>37</v>
      </c>
      <c r="M8" s="4" t="s">
        <v>32</v>
      </c>
    </row>
    <row r="9" spans="1:13">
      <c r="G9" s="1" t="s">
        <v>38</v>
      </c>
      <c r="H9" s="1" t="s">
        <v>31</v>
      </c>
      <c r="I9" s="3">
        <v>1</v>
      </c>
      <c r="J9" s="3">
        <v>400</v>
      </c>
      <c r="K9" t="str">
        <f t="shared" si="0"/>
        <v>战士系英灵伤害修正:0.04:数值:0:0</v>
      </c>
      <c r="L9" t="s">
        <v>39</v>
      </c>
      <c r="M9" s="4" t="s">
        <v>32</v>
      </c>
    </row>
    <row r="10" spans="1:13">
      <c r="G10" s="1" t="s">
        <v>40</v>
      </c>
      <c r="H10" s="1" t="s">
        <v>31</v>
      </c>
      <c r="I10" s="3">
        <v>1</v>
      </c>
      <c r="J10" s="3">
        <v>500</v>
      </c>
      <c r="K10" t="str">
        <f t="shared" si="0"/>
        <v>战士系英灵伤害修正:0.05:数值:0:0</v>
      </c>
      <c r="L10" t="s">
        <v>41</v>
      </c>
      <c r="M10" s="4" t="s">
        <v>32</v>
      </c>
    </row>
    <row r="11" spans="1:13">
      <c r="G11" s="1" t="s">
        <v>42</v>
      </c>
      <c r="H11" s="1" t="s">
        <v>31</v>
      </c>
      <c r="I11" s="3">
        <v>1</v>
      </c>
      <c r="J11" s="3">
        <v>600</v>
      </c>
      <c r="K11" t="str">
        <f t="shared" si="0"/>
        <v>战士系英灵伤害修正:0.06:数值:0:0</v>
      </c>
      <c r="L11" t="s">
        <v>43</v>
      </c>
      <c r="M11" s="4" t="s">
        <v>32</v>
      </c>
    </row>
    <row r="12" spans="1:13">
      <c r="G12" s="1" t="s">
        <v>44</v>
      </c>
      <c r="H12" s="1" t="s">
        <v>31</v>
      </c>
      <c r="I12" s="3">
        <v>1</v>
      </c>
      <c r="J12" s="3">
        <v>700</v>
      </c>
      <c r="K12" t="str">
        <f t="shared" si="0"/>
        <v>战士系英灵伤害修正:0.07:数值:0:0</v>
      </c>
      <c r="L12" t="s">
        <v>45</v>
      </c>
      <c r="M12" s="4" t="s">
        <v>32</v>
      </c>
    </row>
    <row r="13" spans="1:13">
      <c r="G13" s="1" t="s">
        <v>46</v>
      </c>
      <c r="H13" s="1" t="s">
        <v>31</v>
      </c>
      <c r="I13" s="3">
        <v>1</v>
      </c>
      <c r="J13" s="3">
        <v>800</v>
      </c>
      <c r="K13" t="str">
        <f t="shared" si="0"/>
        <v>战士系英灵伤害修正:0.08:数值:0:0</v>
      </c>
      <c r="L13" t="s">
        <v>47</v>
      </c>
      <c r="M13" s="4" t="s">
        <v>32</v>
      </c>
    </row>
    <row r="14" spans="1:13">
      <c r="G14" s="1" t="s">
        <v>48</v>
      </c>
      <c r="H14" s="1" t="s">
        <v>31</v>
      </c>
      <c r="I14" s="3">
        <v>1</v>
      </c>
      <c r="J14" s="3">
        <v>900</v>
      </c>
      <c r="K14" t="str">
        <f t="shared" si="0"/>
        <v>战士系英灵伤害修正:0.09:数值:0:0</v>
      </c>
      <c r="L14" t="s">
        <v>49</v>
      </c>
      <c r="M14" s="4" t="s">
        <v>32</v>
      </c>
    </row>
    <row r="15" spans="1:13">
      <c r="G15" s="1" t="s">
        <v>50</v>
      </c>
      <c r="H15" s="1" t="s">
        <v>31</v>
      </c>
      <c r="I15" s="3">
        <v>1</v>
      </c>
      <c r="J15" s="3">
        <v>1000</v>
      </c>
      <c r="K15" t="str">
        <f t="shared" si="0"/>
        <v>战士系英灵伤害修正:0.1:数值:0:0</v>
      </c>
      <c r="L15" t="s">
        <v>51</v>
      </c>
      <c r="M15" s="4" t="s">
        <v>52</v>
      </c>
    </row>
    <row r="16" spans="1:13">
      <c r="G16" s="1" t="s">
        <v>53</v>
      </c>
      <c r="H16" s="1" t="s">
        <v>34</v>
      </c>
      <c r="I16" s="3">
        <v>0.9</v>
      </c>
      <c r="J16" s="3">
        <v>1200</v>
      </c>
      <c r="K16" t="str">
        <f>"战士系英灵伤害修正:"&amp;(0.12+(ROW(A2)-2)*0.02)&amp;":数值:0:0"</f>
        <v>战士系英灵伤害修正:0.12:数值:0:0</v>
      </c>
      <c r="L16" t="s">
        <v>54</v>
      </c>
      <c r="M16" s="4" t="s">
        <v>52</v>
      </c>
    </row>
    <row r="17" spans="7:13">
      <c r="G17" s="1" t="s">
        <v>55</v>
      </c>
      <c r="H17" s="1" t="s">
        <v>34</v>
      </c>
      <c r="I17" s="3">
        <v>0.9</v>
      </c>
      <c r="J17" s="3">
        <v>1400</v>
      </c>
      <c r="K17" t="str">
        <f t="shared" ref="K17:K25" si="1">"战士系英灵伤害修正:"&amp;(0.12+(ROW(A3)-2)*0.02)&amp;":数值:0:0"</f>
        <v>战士系英灵伤害修正:0.14:数值:0:0</v>
      </c>
      <c r="L17" t="s">
        <v>56</v>
      </c>
      <c r="M17" s="4" t="s">
        <v>52</v>
      </c>
    </row>
    <row r="18" spans="7:13">
      <c r="G18" s="1" t="s">
        <v>57</v>
      </c>
      <c r="H18" s="1" t="s">
        <v>34</v>
      </c>
      <c r="I18" s="3">
        <v>0.9</v>
      </c>
      <c r="J18" s="3">
        <v>1600</v>
      </c>
      <c r="K18" t="str">
        <f t="shared" si="1"/>
        <v>战士系英灵伤害修正:0.16:数值:0:0</v>
      </c>
      <c r="L18" t="s">
        <v>58</v>
      </c>
      <c r="M18" s="4" t="s">
        <v>52</v>
      </c>
    </row>
    <row r="19" spans="7:13">
      <c r="G19" s="1" t="s">
        <v>59</v>
      </c>
      <c r="H19" s="1" t="s">
        <v>34</v>
      </c>
      <c r="I19" s="3">
        <v>0.9</v>
      </c>
      <c r="J19" s="3">
        <v>1800</v>
      </c>
      <c r="K19" t="str">
        <f t="shared" si="1"/>
        <v>战士系英灵伤害修正:0.18:数值:0:0</v>
      </c>
      <c r="L19" t="s">
        <v>60</v>
      </c>
      <c r="M19" s="4" t="s">
        <v>52</v>
      </c>
    </row>
    <row r="20" spans="7:13">
      <c r="G20" s="1" t="s">
        <v>61</v>
      </c>
      <c r="H20" s="1" t="s">
        <v>34</v>
      </c>
      <c r="I20" s="3">
        <v>0.9</v>
      </c>
      <c r="J20" s="3">
        <v>2000</v>
      </c>
      <c r="K20" t="str">
        <f t="shared" si="1"/>
        <v>战士系英灵伤害修正:0.2:数值:0:0</v>
      </c>
      <c r="L20" t="s">
        <v>62</v>
      </c>
      <c r="M20" s="4" t="s">
        <v>52</v>
      </c>
    </row>
    <row r="21" spans="7:13">
      <c r="G21" s="1" t="s">
        <v>63</v>
      </c>
      <c r="H21" s="1" t="s">
        <v>34</v>
      </c>
      <c r="I21" s="3">
        <v>0.9</v>
      </c>
      <c r="J21" s="3">
        <v>2200</v>
      </c>
      <c r="K21" t="str">
        <f t="shared" si="1"/>
        <v>战士系英灵伤害修正:0.22:数值:0:0</v>
      </c>
      <c r="L21" t="s">
        <v>64</v>
      </c>
      <c r="M21" s="4" t="s">
        <v>52</v>
      </c>
    </row>
    <row r="22" spans="7:13">
      <c r="G22" s="1" t="s">
        <v>65</v>
      </c>
      <c r="H22" s="1" t="s">
        <v>34</v>
      </c>
      <c r="I22" s="3">
        <v>0.9</v>
      </c>
      <c r="J22" s="3">
        <v>2400</v>
      </c>
      <c r="K22" t="str">
        <f t="shared" si="1"/>
        <v>战士系英灵伤害修正:0.24:数值:0:0</v>
      </c>
      <c r="L22" t="s">
        <v>66</v>
      </c>
      <c r="M22" s="4" t="s">
        <v>52</v>
      </c>
    </row>
    <row r="23" spans="7:13">
      <c r="G23" s="1" t="s">
        <v>67</v>
      </c>
      <c r="H23" s="1" t="s">
        <v>34</v>
      </c>
      <c r="I23" s="3">
        <v>0.9</v>
      </c>
      <c r="J23" s="3">
        <v>2600</v>
      </c>
      <c r="K23" t="str">
        <f t="shared" si="1"/>
        <v>战士系英灵伤害修正:0.26:数值:0:0</v>
      </c>
      <c r="L23" t="s">
        <v>68</v>
      </c>
      <c r="M23" s="4" t="s">
        <v>52</v>
      </c>
    </row>
    <row r="24" spans="7:13">
      <c r="G24" s="1" t="s">
        <v>69</v>
      </c>
      <c r="H24" s="1" t="s">
        <v>34</v>
      </c>
      <c r="I24" s="3">
        <v>0.9</v>
      </c>
      <c r="J24" s="3">
        <v>2800</v>
      </c>
      <c r="K24" t="str">
        <f t="shared" si="1"/>
        <v>战士系英灵伤害修正:0.28:数值:0:0</v>
      </c>
      <c r="L24" t="s">
        <v>70</v>
      </c>
      <c r="M24" s="4" t="s">
        <v>52</v>
      </c>
    </row>
    <row r="25" spans="7:13">
      <c r="G25" s="1" t="s">
        <v>71</v>
      </c>
      <c r="H25" s="1" t="s">
        <v>34</v>
      </c>
      <c r="I25" s="3">
        <v>0.9</v>
      </c>
      <c r="J25" s="3">
        <v>3000</v>
      </c>
      <c r="K25" t="str">
        <f t="shared" si="1"/>
        <v>战士系英灵伤害修正:0.3:数值:0:0</v>
      </c>
      <c r="L25" t="s">
        <v>72</v>
      </c>
      <c r="M25" s="4" t="s">
        <v>73</v>
      </c>
    </row>
    <row r="26" spans="7:13">
      <c r="G26" s="1" t="s">
        <v>74</v>
      </c>
      <c r="H26" s="1" t="s">
        <v>36</v>
      </c>
      <c r="I26" s="3">
        <v>0.8</v>
      </c>
      <c r="J26" s="3">
        <v>3300</v>
      </c>
      <c r="K26" t="str">
        <f>"战士系英灵伤害修正:"&amp;(0.33+(ROW(A2)-2)*0.03)&amp;":数值:0:0"</f>
        <v>战士系英灵伤害修正:0.33:数值:0:0</v>
      </c>
      <c r="L26" t="s">
        <v>75</v>
      </c>
      <c r="M26" s="4" t="s">
        <v>73</v>
      </c>
    </row>
    <row r="27" spans="7:13">
      <c r="G27" s="1" t="s">
        <v>76</v>
      </c>
      <c r="H27" s="1" t="s">
        <v>36</v>
      </c>
      <c r="I27" s="3">
        <v>0.8</v>
      </c>
      <c r="J27" s="3">
        <v>3600</v>
      </c>
      <c r="K27" t="str">
        <f t="shared" ref="K27:K35" si="2">"战士系英灵伤害修正:"&amp;(0.33+(ROW(A3)-2)*0.03)&amp;":数值:0:0"</f>
        <v>战士系英灵伤害修正:0.36:数值:0:0</v>
      </c>
      <c r="L27" t="s">
        <v>77</v>
      </c>
      <c r="M27" s="4" t="s">
        <v>73</v>
      </c>
    </row>
    <row r="28" spans="7:13">
      <c r="G28" s="1" t="s">
        <v>78</v>
      </c>
      <c r="H28" s="1" t="s">
        <v>36</v>
      </c>
      <c r="I28" s="3">
        <v>0.8</v>
      </c>
      <c r="J28" s="3">
        <v>3900</v>
      </c>
      <c r="K28" t="str">
        <f t="shared" si="2"/>
        <v>战士系英灵伤害修正:0.39:数值:0:0</v>
      </c>
      <c r="L28" t="s">
        <v>79</v>
      </c>
      <c r="M28" s="4" t="s">
        <v>73</v>
      </c>
    </row>
    <row r="29" spans="7:13">
      <c r="G29" s="1" t="s">
        <v>80</v>
      </c>
      <c r="H29" s="1" t="s">
        <v>36</v>
      </c>
      <c r="I29" s="3">
        <v>0.8</v>
      </c>
      <c r="J29" s="3">
        <v>4200</v>
      </c>
      <c r="K29" t="str">
        <f t="shared" si="2"/>
        <v>战士系英灵伤害修正:0.42:数值:0:0</v>
      </c>
      <c r="L29" t="s">
        <v>81</v>
      </c>
      <c r="M29" s="4" t="s">
        <v>73</v>
      </c>
    </row>
    <row r="30" spans="7:13">
      <c r="G30" s="1" t="s">
        <v>82</v>
      </c>
      <c r="H30" s="1" t="s">
        <v>36</v>
      </c>
      <c r="I30" s="3">
        <v>0.8</v>
      </c>
      <c r="J30" s="3">
        <v>4500</v>
      </c>
      <c r="K30" t="str">
        <f t="shared" si="2"/>
        <v>战士系英灵伤害修正:0.45:数值:0:0</v>
      </c>
      <c r="L30" t="s">
        <v>83</v>
      </c>
      <c r="M30" s="4" t="s">
        <v>73</v>
      </c>
    </row>
    <row r="31" spans="7:13">
      <c r="G31" s="1" t="s">
        <v>84</v>
      </c>
      <c r="H31" s="1" t="s">
        <v>36</v>
      </c>
      <c r="I31" s="3">
        <v>0.8</v>
      </c>
      <c r="J31" s="3">
        <v>4800</v>
      </c>
      <c r="K31" t="str">
        <f t="shared" si="2"/>
        <v>战士系英灵伤害修正:0.48:数值:0:0</v>
      </c>
      <c r="L31" t="s">
        <v>85</v>
      </c>
      <c r="M31" s="4" t="s">
        <v>73</v>
      </c>
    </row>
    <row r="32" spans="7:13">
      <c r="G32" s="1" t="s">
        <v>86</v>
      </c>
      <c r="H32" s="1" t="s">
        <v>36</v>
      </c>
      <c r="I32" s="3">
        <v>0.8</v>
      </c>
      <c r="J32" s="3">
        <v>5100</v>
      </c>
      <c r="K32" t="str">
        <f t="shared" si="2"/>
        <v>战士系英灵伤害修正:0.51:数值:0:0</v>
      </c>
      <c r="L32" t="s">
        <v>87</v>
      </c>
      <c r="M32" s="4" t="s">
        <v>73</v>
      </c>
    </row>
    <row r="33" spans="7:13">
      <c r="G33" s="1" t="s">
        <v>88</v>
      </c>
      <c r="H33" s="1" t="s">
        <v>36</v>
      </c>
      <c r="I33" s="3">
        <v>0.8</v>
      </c>
      <c r="J33" s="3">
        <v>5400</v>
      </c>
      <c r="K33" t="str">
        <f t="shared" si="2"/>
        <v>战士系英灵伤害修正:0.54:数值:0:0</v>
      </c>
      <c r="L33" t="s">
        <v>89</v>
      </c>
      <c r="M33" s="4" t="s">
        <v>73</v>
      </c>
    </row>
    <row r="34" spans="7:13">
      <c r="G34" s="1" t="s">
        <v>90</v>
      </c>
      <c r="H34" s="1" t="s">
        <v>36</v>
      </c>
      <c r="I34" s="3">
        <v>0.8</v>
      </c>
      <c r="J34" s="3">
        <v>5700</v>
      </c>
      <c r="K34" t="str">
        <f t="shared" si="2"/>
        <v>战士系英灵伤害修正:0.57:数值:0:0</v>
      </c>
      <c r="L34" t="s">
        <v>91</v>
      </c>
      <c r="M34" s="4" t="s">
        <v>73</v>
      </c>
    </row>
    <row r="35" spans="7:13">
      <c r="G35" s="1" t="s">
        <v>92</v>
      </c>
      <c r="H35" s="1" t="s">
        <v>36</v>
      </c>
      <c r="I35" s="3">
        <v>0.8</v>
      </c>
      <c r="J35" s="3">
        <v>6000</v>
      </c>
      <c r="K35" t="str">
        <f t="shared" si="2"/>
        <v>战士系英灵伤害修正:0.6:数值:0:0</v>
      </c>
      <c r="L35" t="s">
        <v>93</v>
      </c>
      <c r="M35" s="4" t="s">
        <v>94</v>
      </c>
    </row>
    <row r="36" spans="7:13">
      <c r="G36" s="1" t="s">
        <v>95</v>
      </c>
      <c r="H36" s="1" t="s">
        <v>38</v>
      </c>
      <c r="I36" s="3">
        <v>0.7</v>
      </c>
      <c r="J36" s="3">
        <v>6400</v>
      </c>
      <c r="K36" t="str">
        <f>"战士系英灵伤害修正:"&amp;(0.64+(ROW(A2)-2)*0.04)&amp;":数值:0:0"</f>
        <v>战士系英灵伤害修正:0.64:数值:0:0</v>
      </c>
      <c r="L36" t="s">
        <v>96</v>
      </c>
      <c r="M36" s="4" t="s">
        <v>94</v>
      </c>
    </row>
    <row r="37" spans="7:13">
      <c r="G37" s="1" t="s">
        <v>97</v>
      </c>
      <c r="H37" s="1" t="s">
        <v>38</v>
      </c>
      <c r="I37" s="3">
        <v>0.7</v>
      </c>
      <c r="J37" s="3">
        <v>6800</v>
      </c>
      <c r="K37" t="str">
        <f t="shared" ref="K37:K45" si="3">"战士系英灵伤害修正:"&amp;(0.64+(ROW(A3)-2)*0.04)&amp;":数值:0:0"</f>
        <v>战士系英灵伤害修正:0.68:数值:0:0</v>
      </c>
      <c r="L37" t="s">
        <v>98</v>
      </c>
      <c r="M37" s="4" t="s">
        <v>94</v>
      </c>
    </row>
    <row r="38" spans="7:13">
      <c r="G38" s="1" t="s">
        <v>99</v>
      </c>
      <c r="H38" s="1" t="s">
        <v>38</v>
      </c>
      <c r="I38" s="3">
        <v>0.7</v>
      </c>
      <c r="J38" s="3">
        <v>7200</v>
      </c>
      <c r="K38" t="str">
        <f t="shared" si="3"/>
        <v>战士系英灵伤害修正:0.72:数值:0:0</v>
      </c>
      <c r="L38" t="s">
        <v>100</v>
      </c>
      <c r="M38" s="4" t="s">
        <v>94</v>
      </c>
    </row>
    <row r="39" spans="7:13">
      <c r="G39" s="1" t="s">
        <v>101</v>
      </c>
      <c r="H39" s="1" t="s">
        <v>38</v>
      </c>
      <c r="I39" s="3">
        <v>0.7</v>
      </c>
      <c r="J39" s="3">
        <v>7600</v>
      </c>
      <c r="K39" t="str">
        <f t="shared" si="3"/>
        <v>战士系英灵伤害修正:0.76:数值:0:0</v>
      </c>
      <c r="L39" t="s">
        <v>102</v>
      </c>
      <c r="M39" s="4" t="s">
        <v>94</v>
      </c>
    </row>
    <row r="40" spans="7:13">
      <c r="G40" s="1" t="s">
        <v>103</v>
      </c>
      <c r="H40" s="1" t="s">
        <v>38</v>
      </c>
      <c r="I40" s="3">
        <v>0.7</v>
      </c>
      <c r="J40" s="3">
        <v>8000</v>
      </c>
      <c r="K40" t="str">
        <f t="shared" si="3"/>
        <v>战士系英灵伤害修正:0.8:数值:0:0</v>
      </c>
      <c r="L40" t="s">
        <v>104</v>
      </c>
      <c r="M40" s="4" t="s">
        <v>94</v>
      </c>
    </row>
    <row r="41" spans="7:13">
      <c r="G41" s="1" t="s">
        <v>105</v>
      </c>
      <c r="H41" s="1" t="s">
        <v>38</v>
      </c>
      <c r="I41" s="3">
        <v>0.7</v>
      </c>
      <c r="J41" s="3">
        <v>8400</v>
      </c>
      <c r="K41" t="str">
        <f t="shared" si="3"/>
        <v>战士系英灵伤害修正:0.84:数值:0:0</v>
      </c>
      <c r="L41" t="s">
        <v>106</v>
      </c>
      <c r="M41" s="4" t="s">
        <v>94</v>
      </c>
    </row>
    <row r="42" spans="7:13">
      <c r="G42" s="1" t="s">
        <v>107</v>
      </c>
      <c r="H42" s="1" t="s">
        <v>38</v>
      </c>
      <c r="I42" s="3">
        <v>0.7</v>
      </c>
      <c r="J42" s="3">
        <v>8800</v>
      </c>
      <c r="K42" t="str">
        <f t="shared" si="3"/>
        <v>战士系英灵伤害修正:0.88:数值:0:0</v>
      </c>
      <c r="L42" t="s">
        <v>108</v>
      </c>
      <c r="M42" s="4" t="s">
        <v>94</v>
      </c>
    </row>
    <row r="43" spans="7:13">
      <c r="G43" s="1" t="s">
        <v>109</v>
      </c>
      <c r="H43" s="1" t="s">
        <v>38</v>
      </c>
      <c r="I43" s="3">
        <v>0.7</v>
      </c>
      <c r="J43" s="3">
        <v>9200</v>
      </c>
      <c r="K43" t="str">
        <f t="shared" si="3"/>
        <v>战士系英灵伤害修正:0.92:数值:0:0</v>
      </c>
      <c r="L43" t="s">
        <v>110</v>
      </c>
      <c r="M43" s="4" t="s">
        <v>94</v>
      </c>
    </row>
    <row r="44" spans="7:13">
      <c r="G44" s="1" t="s">
        <v>111</v>
      </c>
      <c r="H44" s="1" t="s">
        <v>38</v>
      </c>
      <c r="I44" s="3">
        <v>0.7</v>
      </c>
      <c r="J44" s="3">
        <v>9600</v>
      </c>
      <c r="K44" t="str">
        <f t="shared" si="3"/>
        <v>战士系英灵伤害修正:0.96:数值:0:0</v>
      </c>
      <c r="L44" t="s">
        <v>112</v>
      </c>
      <c r="M44" s="4" t="s">
        <v>94</v>
      </c>
    </row>
    <row r="45" spans="7:13">
      <c r="G45" s="1" t="s">
        <v>113</v>
      </c>
      <c r="H45" s="1" t="s">
        <v>38</v>
      </c>
      <c r="I45" s="3">
        <v>0.7</v>
      </c>
      <c r="J45" s="3">
        <v>10000</v>
      </c>
      <c r="K45" t="str">
        <f t="shared" si="3"/>
        <v>战士系英灵伤害修正:1:数值:0:0</v>
      </c>
      <c r="L45" t="s">
        <v>114</v>
      </c>
      <c r="M45" s="4" t="s">
        <v>115</v>
      </c>
    </row>
    <row r="46" spans="7:13">
      <c r="G46" s="1" t="s">
        <v>116</v>
      </c>
      <c r="H46" s="1" t="s">
        <v>40</v>
      </c>
      <c r="I46" s="3">
        <v>0.6</v>
      </c>
      <c r="J46" s="3">
        <v>10500</v>
      </c>
      <c r="K46" t="str">
        <f>"战士系英灵伤害修正:"&amp;(1.05+(ROW(A2)-2)*0.05)&amp;":数值:0:0"</f>
        <v>战士系英灵伤害修正:1.05:数值:0:0</v>
      </c>
      <c r="L46" t="s">
        <v>117</v>
      </c>
      <c r="M46" s="4" t="s">
        <v>115</v>
      </c>
    </row>
    <row r="47" spans="7:13">
      <c r="G47" s="1" t="s">
        <v>118</v>
      </c>
      <c r="H47" s="1" t="s">
        <v>40</v>
      </c>
      <c r="I47" s="3">
        <v>0.6</v>
      </c>
      <c r="J47" s="3">
        <v>11000</v>
      </c>
      <c r="K47" t="str">
        <f t="shared" ref="K47:K55" si="4">"战士系英灵伤害修正:"&amp;(1.05+(ROW(A3)-2)*0.05)&amp;":数值:0:0"</f>
        <v>战士系英灵伤害修正:1.1:数值:0:0</v>
      </c>
      <c r="L47" t="s">
        <v>119</v>
      </c>
      <c r="M47" s="4" t="s">
        <v>115</v>
      </c>
    </row>
    <row r="48" spans="7:13">
      <c r="G48" s="1" t="s">
        <v>120</v>
      </c>
      <c r="H48" s="1" t="s">
        <v>40</v>
      </c>
      <c r="I48" s="3">
        <v>0.6</v>
      </c>
      <c r="J48" s="3">
        <v>11500</v>
      </c>
      <c r="K48" t="str">
        <f t="shared" si="4"/>
        <v>战士系英灵伤害修正:1.15:数值:0:0</v>
      </c>
      <c r="L48" t="s">
        <v>121</v>
      </c>
      <c r="M48" s="4" t="s">
        <v>115</v>
      </c>
    </row>
    <row r="49" spans="7:13">
      <c r="G49" s="1" t="s">
        <v>122</v>
      </c>
      <c r="H49" s="1" t="s">
        <v>40</v>
      </c>
      <c r="I49" s="3">
        <v>0.6</v>
      </c>
      <c r="J49" s="3">
        <v>12000</v>
      </c>
      <c r="K49" t="str">
        <f t="shared" si="4"/>
        <v>战士系英灵伤害修正:1.2:数值:0:0</v>
      </c>
      <c r="L49" t="s">
        <v>123</v>
      </c>
      <c r="M49" s="4" t="s">
        <v>115</v>
      </c>
    </row>
    <row r="50" spans="7:13">
      <c r="G50" s="1" t="s">
        <v>124</v>
      </c>
      <c r="H50" s="1" t="s">
        <v>40</v>
      </c>
      <c r="I50" s="3">
        <v>0.6</v>
      </c>
      <c r="J50" s="3">
        <v>12500</v>
      </c>
      <c r="K50" t="str">
        <f t="shared" si="4"/>
        <v>战士系英灵伤害修正:1.25:数值:0:0</v>
      </c>
      <c r="L50" t="s">
        <v>125</v>
      </c>
      <c r="M50" s="4" t="s">
        <v>115</v>
      </c>
    </row>
    <row r="51" spans="7:13">
      <c r="G51" s="1" t="s">
        <v>126</v>
      </c>
      <c r="H51" s="1" t="s">
        <v>40</v>
      </c>
      <c r="I51" s="3">
        <v>0.6</v>
      </c>
      <c r="J51" s="3">
        <v>13000</v>
      </c>
      <c r="K51" t="str">
        <f t="shared" si="4"/>
        <v>战士系英灵伤害修正:1.3:数值:0:0</v>
      </c>
      <c r="L51" t="s">
        <v>127</v>
      </c>
      <c r="M51" s="4" t="s">
        <v>115</v>
      </c>
    </row>
    <row r="52" spans="7:13">
      <c r="G52" s="1" t="s">
        <v>128</v>
      </c>
      <c r="H52" s="1" t="s">
        <v>40</v>
      </c>
      <c r="I52" s="3">
        <v>0.6</v>
      </c>
      <c r="J52" s="3">
        <v>13500</v>
      </c>
      <c r="K52" t="str">
        <f t="shared" si="4"/>
        <v>战士系英灵伤害修正:1.35:数值:0:0</v>
      </c>
      <c r="L52" t="s">
        <v>129</v>
      </c>
      <c r="M52" s="4" t="s">
        <v>115</v>
      </c>
    </row>
    <row r="53" spans="7:13">
      <c r="G53" s="1" t="s">
        <v>130</v>
      </c>
      <c r="H53" s="1" t="s">
        <v>40</v>
      </c>
      <c r="I53" s="3">
        <v>0.6</v>
      </c>
      <c r="J53" s="3">
        <v>14000</v>
      </c>
      <c r="K53" t="str">
        <f t="shared" si="4"/>
        <v>战士系英灵伤害修正:1.4:数值:0:0</v>
      </c>
      <c r="L53" t="s">
        <v>131</v>
      </c>
      <c r="M53" s="4" t="s">
        <v>115</v>
      </c>
    </row>
    <row r="54" spans="7:13">
      <c r="G54" s="1" t="s">
        <v>132</v>
      </c>
      <c r="H54" s="1" t="s">
        <v>40</v>
      </c>
      <c r="I54" s="3">
        <v>0.6</v>
      </c>
      <c r="J54" s="3">
        <v>14500</v>
      </c>
      <c r="K54" t="str">
        <f t="shared" si="4"/>
        <v>战士系英灵伤害修正:1.45:数值:0:0</v>
      </c>
      <c r="L54" t="s">
        <v>133</v>
      </c>
      <c r="M54" s="4" t="s">
        <v>115</v>
      </c>
    </row>
    <row r="55" spans="7:13">
      <c r="G55" s="1" t="s">
        <v>134</v>
      </c>
      <c r="H55" s="1" t="s">
        <v>40</v>
      </c>
      <c r="I55" s="3">
        <v>0.6</v>
      </c>
      <c r="J55" s="3">
        <v>15000</v>
      </c>
      <c r="K55" t="str">
        <f t="shared" si="4"/>
        <v>战士系英灵伤害修正:1.5:数值:0:0</v>
      </c>
      <c r="L55" t="s">
        <v>135</v>
      </c>
      <c r="M55" s="4" t="s">
        <v>136</v>
      </c>
    </row>
    <row r="56" spans="7:13">
      <c r="G56" s="1" t="s">
        <v>137</v>
      </c>
      <c r="H56" s="1" t="s">
        <v>42</v>
      </c>
      <c r="I56" s="3">
        <v>0.5</v>
      </c>
      <c r="J56" s="3">
        <v>15600</v>
      </c>
      <c r="K56" t="str">
        <f>"战士系英灵伤害修正:"&amp;(1.56+(ROW(A2)-2)*0.06)&amp;":数值:0:0"</f>
        <v>战士系英灵伤害修正:1.56:数值:0:0</v>
      </c>
      <c r="L56" t="s">
        <v>138</v>
      </c>
      <c r="M56" s="4" t="s">
        <v>136</v>
      </c>
    </row>
    <row r="57" spans="7:13">
      <c r="G57" s="1" t="s">
        <v>139</v>
      </c>
      <c r="H57" s="1" t="s">
        <v>42</v>
      </c>
      <c r="I57" s="3">
        <v>0.5</v>
      </c>
      <c r="J57" s="3">
        <v>16200</v>
      </c>
      <c r="K57" t="str">
        <f t="shared" ref="K57:K65" si="5">"战士系英灵伤害修正:"&amp;(1.56+(ROW(A3)-2)*0.06)&amp;":数值:0:0"</f>
        <v>战士系英灵伤害修正:1.62:数值:0:0</v>
      </c>
      <c r="L57" t="s">
        <v>140</v>
      </c>
      <c r="M57" s="4" t="s">
        <v>136</v>
      </c>
    </row>
    <row r="58" spans="7:13">
      <c r="G58" s="1" t="s">
        <v>141</v>
      </c>
      <c r="H58" s="1" t="s">
        <v>42</v>
      </c>
      <c r="I58" s="3">
        <v>0.5</v>
      </c>
      <c r="J58" s="3">
        <v>16800</v>
      </c>
      <c r="K58" t="str">
        <f t="shared" si="5"/>
        <v>战士系英灵伤害修正:1.68:数值:0:0</v>
      </c>
      <c r="L58" t="s">
        <v>142</v>
      </c>
      <c r="M58" s="4" t="s">
        <v>136</v>
      </c>
    </row>
    <row r="59" spans="7:13">
      <c r="G59" s="1" t="s">
        <v>143</v>
      </c>
      <c r="H59" s="1" t="s">
        <v>42</v>
      </c>
      <c r="I59" s="3">
        <v>0.5</v>
      </c>
      <c r="J59" s="3">
        <v>17400</v>
      </c>
      <c r="K59" t="str">
        <f t="shared" si="5"/>
        <v>战士系英灵伤害修正:1.74:数值:0:0</v>
      </c>
      <c r="L59" t="s">
        <v>144</v>
      </c>
      <c r="M59" s="4" t="s">
        <v>136</v>
      </c>
    </row>
    <row r="60" spans="7:13">
      <c r="G60" s="1" t="s">
        <v>145</v>
      </c>
      <c r="H60" s="1" t="s">
        <v>42</v>
      </c>
      <c r="I60" s="3">
        <v>0.5</v>
      </c>
      <c r="J60" s="3">
        <v>18000</v>
      </c>
      <c r="K60" t="str">
        <f t="shared" si="5"/>
        <v>战士系英灵伤害修正:1.8:数值:0:0</v>
      </c>
      <c r="L60" t="s">
        <v>146</v>
      </c>
      <c r="M60" s="4" t="s">
        <v>136</v>
      </c>
    </row>
    <row r="61" spans="7:13">
      <c r="G61" s="1" t="s">
        <v>147</v>
      </c>
      <c r="H61" s="1" t="s">
        <v>42</v>
      </c>
      <c r="I61" s="3">
        <v>0.5</v>
      </c>
      <c r="J61" s="3">
        <v>18600</v>
      </c>
      <c r="K61" t="str">
        <f t="shared" si="5"/>
        <v>战士系英灵伤害修正:1.86:数值:0:0</v>
      </c>
      <c r="L61" t="s">
        <v>148</v>
      </c>
      <c r="M61" s="4" t="s">
        <v>136</v>
      </c>
    </row>
    <row r="62" spans="7:13">
      <c r="G62" s="1" t="s">
        <v>149</v>
      </c>
      <c r="H62" s="1" t="s">
        <v>42</v>
      </c>
      <c r="I62" s="3">
        <v>0.5</v>
      </c>
      <c r="J62" s="3">
        <v>19200</v>
      </c>
      <c r="K62" t="str">
        <f t="shared" si="5"/>
        <v>战士系英灵伤害修正:1.92:数值:0:0</v>
      </c>
      <c r="L62" t="s">
        <v>150</v>
      </c>
      <c r="M62" s="4" t="s">
        <v>136</v>
      </c>
    </row>
    <row r="63" spans="7:13">
      <c r="G63" s="1" t="s">
        <v>151</v>
      </c>
      <c r="H63" s="1" t="s">
        <v>42</v>
      </c>
      <c r="I63" s="3">
        <v>0.5</v>
      </c>
      <c r="J63" s="3">
        <v>19800</v>
      </c>
      <c r="K63" t="str">
        <f t="shared" si="5"/>
        <v>战士系英灵伤害修正:1.98:数值:0:0</v>
      </c>
      <c r="L63" t="s">
        <v>152</v>
      </c>
      <c r="M63" s="4" t="s">
        <v>136</v>
      </c>
    </row>
    <row r="64" spans="7:13">
      <c r="G64" s="1" t="s">
        <v>153</v>
      </c>
      <c r="H64" s="1" t="s">
        <v>42</v>
      </c>
      <c r="I64" s="3">
        <v>0.5</v>
      </c>
      <c r="J64" s="3">
        <v>20400</v>
      </c>
      <c r="K64" t="str">
        <f t="shared" si="5"/>
        <v>战士系英灵伤害修正:2.04:数值:0:0</v>
      </c>
      <c r="L64" t="s">
        <v>154</v>
      </c>
      <c r="M64" s="4" t="s">
        <v>136</v>
      </c>
    </row>
    <row r="65" spans="7:13">
      <c r="G65" s="1" t="s">
        <v>155</v>
      </c>
      <c r="H65" s="1" t="s">
        <v>42</v>
      </c>
      <c r="I65" s="3">
        <v>0.5</v>
      </c>
      <c r="J65" s="3">
        <v>21000</v>
      </c>
      <c r="K65" t="str">
        <f t="shared" si="5"/>
        <v>战士系英灵伤害修正:2.1:数值:0:0</v>
      </c>
      <c r="L65" t="s">
        <v>156</v>
      </c>
      <c r="M65" s="4" t="s">
        <v>157</v>
      </c>
    </row>
    <row r="66" spans="7:13">
      <c r="G66" s="1" t="s">
        <v>158</v>
      </c>
      <c r="H66" s="1" t="s">
        <v>44</v>
      </c>
      <c r="I66" s="3">
        <v>0.4</v>
      </c>
      <c r="J66" s="3">
        <v>21700</v>
      </c>
      <c r="K66" t="str">
        <f>"战士系英灵伤害修正:"&amp;(2.17+(ROW(A2)-2)*0.07)&amp;":数值:0:0"</f>
        <v>战士系英灵伤害修正:2.17:数值:0:0</v>
      </c>
      <c r="L66" t="s">
        <v>159</v>
      </c>
      <c r="M66" s="4" t="s">
        <v>157</v>
      </c>
    </row>
    <row r="67" spans="7:13">
      <c r="G67" s="1" t="s">
        <v>160</v>
      </c>
      <c r="H67" s="1" t="s">
        <v>44</v>
      </c>
      <c r="I67" s="3">
        <v>0.4</v>
      </c>
      <c r="J67" s="3">
        <v>22400</v>
      </c>
      <c r="K67" t="str">
        <f t="shared" ref="K67:K75" si="6">"战士系英灵伤害修正:"&amp;(2.17+(ROW(A3)-2)*0.07)&amp;":数值:0:0"</f>
        <v>战士系英灵伤害修正:2.24:数值:0:0</v>
      </c>
      <c r="L67" t="s">
        <v>161</v>
      </c>
      <c r="M67" s="4" t="s">
        <v>157</v>
      </c>
    </row>
    <row r="68" spans="7:13">
      <c r="G68" s="1" t="s">
        <v>162</v>
      </c>
      <c r="H68" s="1" t="s">
        <v>44</v>
      </c>
      <c r="I68" s="3">
        <v>0.4</v>
      </c>
      <c r="J68" s="3">
        <v>23100</v>
      </c>
      <c r="K68" t="str">
        <f t="shared" si="6"/>
        <v>战士系英灵伤害修正:2.31:数值:0:0</v>
      </c>
      <c r="L68" t="s">
        <v>163</v>
      </c>
      <c r="M68" s="4" t="s">
        <v>157</v>
      </c>
    </row>
    <row r="69" spans="7:13">
      <c r="G69" s="1" t="s">
        <v>164</v>
      </c>
      <c r="H69" s="1" t="s">
        <v>44</v>
      </c>
      <c r="I69" s="3">
        <v>0.4</v>
      </c>
      <c r="J69" s="3">
        <v>23800</v>
      </c>
      <c r="K69" t="str">
        <f t="shared" si="6"/>
        <v>战士系英灵伤害修正:2.38:数值:0:0</v>
      </c>
      <c r="L69" t="s">
        <v>165</v>
      </c>
      <c r="M69" s="4" t="s">
        <v>157</v>
      </c>
    </row>
    <row r="70" spans="7:13">
      <c r="G70" s="1" t="s">
        <v>166</v>
      </c>
      <c r="H70" s="1" t="s">
        <v>44</v>
      </c>
      <c r="I70" s="3">
        <v>0.4</v>
      </c>
      <c r="J70" s="3">
        <v>24500</v>
      </c>
      <c r="K70" t="str">
        <f t="shared" si="6"/>
        <v>战士系英灵伤害修正:2.45:数值:0:0</v>
      </c>
      <c r="L70" t="s">
        <v>167</v>
      </c>
      <c r="M70" s="4" t="s">
        <v>157</v>
      </c>
    </row>
    <row r="71" spans="7:13">
      <c r="G71" s="1" t="s">
        <v>168</v>
      </c>
      <c r="H71" s="1" t="s">
        <v>44</v>
      </c>
      <c r="I71" s="3">
        <v>0.4</v>
      </c>
      <c r="J71" s="3">
        <v>25200</v>
      </c>
      <c r="K71" t="str">
        <f t="shared" si="6"/>
        <v>战士系英灵伤害修正:2.52:数值:0:0</v>
      </c>
      <c r="L71" t="s">
        <v>169</v>
      </c>
      <c r="M71" s="4" t="s">
        <v>157</v>
      </c>
    </row>
    <row r="72" spans="7:13">
      <c r="G72" s="1" t="s">
        <v>170</v>
      </c>
      <c r="H72" s="1" t="s">
        <v>44</v>
      </c>
      <c r="I72" s="3">
        <v>0.4</v>
      </c>
      <c r="J72" s="3">
        <v>25900</v>
      </c>
      <c r="K72" t="str">
        <f t="shared" si="6"/>
        <v>战士系英灵伤害修正:2.59:数值:0:0</v>
      </c>
      <c r="L72" t="s">
        <v>171</v>
      </c>
      <c r="M72" s="4" t="s">
        <v>157</v>
      </c>
    </row>
    <row r="73" spans="7:13">
      <c r="G73" s="1" t="s">
        <v>172</v>
      </c>
      <c r="H73" s="1" t="s">
        <v>44</v>
      </c>
      <c r="I73" s="3">
        <v>0.4</v>
      </c>
      <c r="J73" s="3">
        <v>26600</v>
      </c>
      <c r="K73" t="str">
        <f t="shared" si="6"/>
        <v>战士系英灵伤害修正:2.66:数值:0:0</v>
      </c>
      <c r="L73" t="s">
        <v>173</v>
      </c>
      <c r="M73" s="4" t="s">
        <v>157</v>
      </c>
    </row>
    <row r="74" spans="7:13">
      <c r="G74" s="1" t="s">
        <v>174</v>
      </c>
      <c r="H74" s="1" t="s">
        <v>44</v>
      </c>
      <c r="I74" s="3">
        <v>0.4</v>
      </c>
      <c r="J74" s="3">
        <v>27300</v>
      </c>
      <c r="K74" t="str">
        <f t="shared" si="6"/>
        <v>战士系英灵伤害修正:2.73:数值:0:0</v>
      </c>
      <c r="L74" t="s">
        <v>175</v>
      </c>
      <c r="M74" s="4" t="s">
        <v>157</v>
      </c>
    </row>
    <row r="75" spans="7:13">
      <c r="G75" s="1" t="s">
        <v>176</v>
      </c>
      <c r="H75" s="1" t="s">
        <v>44</v>
      </c>
      <c r="I75" s="3">
        <v>0.4</v>
      </c>
      <c r="J75" s="3">
        <v>28000</v>
      </c>
      <c r="K75" t="str">
        <f t="shared" si="6"/>
        <v>战士系英灵伤害修正:2.8:数值:0:0</v>
      </c>
      <c r="L75" t="s">
        <v>177</v>
      </c>
      <c r="M75" s="4" t="s">
        <v>178</v>
      </c>
    </row>
    <row r="76" spans="7:13">
      <c r="G76" s="1" t="s">
        <v>179</v>
      </c>
      <c r="H76" s="1" t="s">
        <v>46</v>
      </c>
      <c r="I76" s="3">
        <v>0.3</v>
      </c>
      <c r="J76" s="3">
        <v>28800</v>
      </c>
      <c r="K76" t="str">
        <f>"战士系英灵伤害修正:"&amp;(2.88+(ROW(A2)-2)*0.08)&amp;":数值:0:0"</f>
        <v>战士系英灵伤害修正:2.88:数值:0:0</v>
      </c>
      <c r="L76" t="s">
        <v>180</v>
      </c>
      <c r="M76" s="4" t="s">
        <v>178</v>
      </c>
    </row>
    <row r="77" spans="7:13">
      <c r="G77" s="1" t="s">
        <v>181</v>
      </c>
      <c r="H77" s="1" t="s">
        <v>46</v>
      </c>
      <c r="I77" s="3">
        <v>0.3</v>
      </c>
      <c r="J77" s="3">
        <v>29600</v>
      </c>
      <c r="K77" t="str">
        <f t="shared" ref="K77:K85" si="7">"战士系英灵伤害修正:"&amp;(2.88+(ROW(A3)-2)*0.08)&amp;":数值:0:0"</f>
        <v>战士系英灵伤害修正:2.96:数值:0:0</v>
      </c>
      <c r="L77" t="s">
        <v>182</v>
      </c>
      <c r="M77" s="4" t="s">
        <v>178</v>
      </c>
    </row>
    <row r="78" spans="7:13">
      <c r="G78" s="1" t="s">
        <v>183</v>
      </c>
      <c r="H78" s="1" t="s">
        <v>46</v>
      </c>
      <c r="I78" s="3">
        <v>0.3</v>
      </c>
      <c r="J78" s="3">
        <v>30400</v>
      </c>
      <c r="K78" t="str">
        <f t="shared" si="7"/>
        <v>战士系英灵伤害修正:3.04:数值:0:0</v>
      </c>
      <c r="L78" t="s">
        <v>184</v>
      </c>
      <c r="M78" s="4" t="s">
        <v>178</v>
      </c>
    </row>
    <row r="79" spans="7:13">
      <c r="G79" s="1" t="s">
        <v>185</v>
      </c>
      <c r="H79" s="1" t="s">
        <v>46</v>
      </c>
      <c r="I79" s="3">
        <v>0.3</v>
      </c>
      <c r="J79" s="3">
        <v>31200</v>
      </c>
      <c r="K79" t="str">
        <f t="shared" si="7"/>
        <v>战士系英灵伤害修正:3.12:数值:0:0</v>
      </c>
      <c r="L79" t="s">
        <v>186</v>
      </c>
      <c r="M79" s="4" t="s">
        <v>178</v>
      </c>
    </row>
    <row r="80" spans="7:13">
      <c r="G80" s="1" t="s">
        <v>187</v>
      </c>
      <c r="H80" s="1" t="s">
        <v>46</v>
      </c>
      <c r="I80" s="3">
        <v>0.3</v>
      </c>
      <c r="J80" s="3">
        <v>32000</v>
      </c>
      <c r="K80" t="str">
        <f t="shared" si="7"/>
        <v>战士系英灵伤害修正:3.2:数值:0:0</v>
      </c>
      <c r="L80" t="s">
        <v>188</v>
      </c>
      <c r="M80" s="4" t="s">
        <v>178</v>
      </c>
    </row>
    <row r="81" spans="7:13">
      <c r="G81" s="1" t="s">
        <v>189</v>
      </c>
      <c r="H81" s="1" t="s">
        <v>46</v>
      </c>
      <c r="I81" s="3">
        <v>0.3</v>
      </c>
      <c r="J81" s="3">
        <v>32800</v>
      </c>
      <c r="K81" t="str">
        <f t="shared" si="7"/>
        <v>战士系英灵伤害修正:3.28:数值:0:0</v>
      </c>
      <c r="L81" t="s">
        <v>190</v>
      </c>
      <c r="M81" s="4" t="s">
        <v>178</v>
      </c>
    </row>
    <row r="82" spans="7:13">
      <c r="G82" s="1" t="s">
        <v>191</v>
      </c>
      <c r="H82" s="1" t="s">
        <v>46</v>
      </c>
      <c r="I82" s="3">
        <v>0.3</v>
      </c>
      <c r="J82" s="3">
        <v>33600</v>
      </c>
      <c r="K82" t="str">
        <f t="shared" si="7"/>
        <v>战士系英灵伤害修正:3.36:数值:0:0</v>
      </c>
      <c r="L82" t="s">
        <v>192</v>
      </c>
      <c r="M82" s="4" t="s">
        <v>178</v>
      </c>
    </row>
    <row r="83" spans="7:13">
      <c r="G83" s="1" t="s">
        <v>193</v>
      </c>
      <c r="H83" s="1" t="s">
        <v>46</v>
      </c>
      <c r="I83" s="3">
        <v>0.3</v>
      </c>
      <c r="J83" s="3">
        <v>34400</v>
      </c>
      <c r="K83" t="str">
        <f t="shared" si="7"/>
        <v>战士系英灵伤害修正:3.44:数值:0:0</v>
      </c>
      <c r="L83" t="s">
        <v>194</v>
      </c>
      <c r="M83" s="4" t="s">
        <v>178</v>
      </c>
    </row>
    <row r="84" spans="7:13">
      <c r="G84" s="1" t="s">
        <v>195</v>
      </c>
      <c r="H84" s="1" t="s">
        <v>46</v>
      </c>
      <c r="I84" s="3">
        <v>0.3</v>
      </c>
      <c r="J84" s="3">
        <v>35200</v>
      </c>
      <c r="K84" t="str">
        <f t="shared" si="7"/>
        <v>战士系英灵伤害修正:3.52:数值:0:0</v>
      </c>
      <c r="L84" t="s">
        <v>196</v>
      </c>
      <c r="M84" s="4" t="s">
        <v>178</v>
      </c>
    </row>
    <row r="85" spans="7:13">
      <c r="G85" s="1" t="s">
        <v>197</v>
      </c>
      <c r="H85" s="1" t="s">
        <v>46</v>
      </c>
      <c r="I85" s="3">
        <v>0.3</v>
      </c>
      <c r="J85" s="3">
        <v>36000</v>
      </c>
      <c r="K85" t="str">
        <f t="shared" si="7"/>
        <v>战士系英灵伤害修正:3.6:数值:0:0</v>
      </c>
      <c r="L85" t="s">
        <v>198</v>
      </c>
      <c r="M85" s="4" t="s">
        <v>199</v>
      </c>
    </row>
    <row r="86" spans="7:13">
      <c r="G86" s="1" t="s">
        <v>200</v>
      </c>
      <c r="H86" s="1" t="s">
        <v>48</v>
      </c>
      <c r="I86" s="3">
        <v>0.2</v>
      </c>
      <c r="J86" s="3">
        <v>36900</v>
      </c>
      <c r="K86" t="str">
        <f>"战士系英灵伤害修正:"&amp;(3.69+(ROW(A2)-2)*0.09)&amp;":数值:0:0"</f>
        <v>战士系英灵伤害修正:3.69:数值:0:0</v>
      </c>
      <c r="L86" t="s">
        <v>201</v>
      </c>
      <c r="M86" s="4" t="s">
        <v>199</v>
      </c>
    </row>
    <row r="87" spans="7:13">
      <c r="G87" s="1" t="s">
        <v>202</v>
      </c>
      <c r="H87" s="1" t="s">
        <v>48</v>
      </c>
      <c r="I87" s="3">
        <v>0.2</v>
      </c>
      <c r="J87" s="3">
        <v>37800</v>
      </c>
      <c r="K87" t="str">
        <f t="shared" ref="K87:K95" si="8">"战士系英灵伤害修正:"&amp;(3.69+(ROW(A3)-2)*0.09)&amp;":数值:0:0"</f>
        <v>战士系英灵伤害修正:3.78:数值:0:0</v>
      </c>
      <c r="L87" t="s">
        <v>203</v>
      </c>
      <c r="M87" s="4" t="s">
        <v>199</v>
      </c>
    </row>
    <row r="88" spans="7:13">
      <c r="G88" s="1" t="s">
        <v>204</v>
      </c>
      <c r="H88" s="1" t="s">
        <v>48</v>
      </c>
      <c r="I88" s="3">
        <v>0.2</v>
      </c>
      <c r="J88" s="3">
        <v>38700</v>
      </c>
      <c r="K88" t="str">
        <f t="shared" si="8"/>
        <v>战士系英灵伤害修正:3.87:数值:0:0</v>
      </c>
      <c r="L88" t="s">
        <v>205</v>
      </c>
      <c r="M88" s="4" t="s">
        <v>199</v>
      </c>
    </row>
    <row r="89" spans="7:13">
      <c r="G89" s="1" t="s">
        <v>206</v>
      </c>
      <c r="H89" s="1" t="s">
        <v>48</v>
      </c>
      <c r="I89" s="3">
        <v>0.2</v>
      </c>
      <c r="J89" s="3">
        <v>39600</v>
      </c>
      <c r="K89" t="str">
        <f t="shared" si="8"/>
        <v>战士系英灵伤害修正:3.96:数值:0:0</v>
      </c>
      <c r="L89" t="s">
        <v>207</v>
      </c>
      <c r="M89" s="4" t="s">
        <v>199</v>
      </c>
    </row>
    <row r="90" spans="7:13">
      <c r="G90" s="1" t="s">
        <v>208</v>
      </c>
      <c r="H90" s="1" t="s">
        <v>48</v>
      </c>
      <c r="I90" s="3">
        <v>0.2</v>
      </c>
      <c r="J90" s="3">
        <v>40500</v>
      </c>
      <c r="K90" t="str">
        <f t="shared" si="8"/>
        <v>战士系英灵伤害修正:4.05:数值:0:0</v>
      </c>
      <c r="L90" t="s">
        <v>209</v>
      </c>
      <c r="M90" s="4" t="s">
        <v>199</v>
      </c>
    </row>
    <row r="91" spans="7:13">
      <c r="G91" s="1" t="s">
        <v>210</v>
      </c>
      <c r="H91" s="1" t="s">
        <v>48</v>
      </c>
      <c r="I91" s="3">
        <v>0.2</v>
      </c>
      <c r="J91" s="3">
        <v>41400</v>
      </c>
      <c r="K91" t="str">
        <f t="shared" si="8"/>
        <v>战士系英灵伤害修正:4.14:数值:0:0</v>
      </c>
      <c r="L91" t="s">
        <v>211</v>
      </c>
      <c r="M91" s="4" t="s">
        <v>199</v>
      </c>
    </row>
    <row r="92" spans="7:13">
      <c r="G92" s="1" t="s">
        <v>212</v>
      </c>
      <c r="H92" s="1" t="s">
        <v>48</v>
      </c>
      <c r="I92" s="3">
        <v>0.2</v>
      </c>
      <c r="J92" s="3">
        <v>42300</v>
      </c>
      <c r="K92" t="str">
        <f t="shared" si="8"/>
        <v>战士系英灵伤害修正:4.23:数值:0:0</v>
      </c>
      <c r="L92" t="s">
        <v>213</v>
      </c>
      <c r="M92" s="4" t="s">
        <v>199</v>
      </c>
    </row>
    <row r="93" spans="7:13">
      <c r="G93" s="1" t="s">
        <v>214</v>
      </c>
      <c r="H93" s="1" t="s">
        <v>48</v>
      </c>
      <c r="I93" s="3">
        <v>0.2</v>
      </c>
      <c r="J93" s="3">
        <v>43200</v>
      </c>
      <c r="K93" t="str">
        <f t="shared" si="8"/>
        <v>战士系英灵伤害修正:4.32:数值:0:0</v>
      </c>
      <c r="L93" t="s">
        <v>215</v>
      </c>
      <c r="M93" s="4" t="s">
        <v>199</v>
      </c>
    </row>
    <row r="94" spans="7:13">
      <c r="G94" s="1" t="s">
        <v>216</v>
      </c>
      <c r="H94" s="1" t="s">
        <v>48</v>
      </c>
      <c r="I94" s="3">
        <v>0.2</v>
      </c>
      <c r="J94" s="3">
        <v>44100</v>
      </c>
      <c r="K94" t="str">
        <f t="shared" si="8"/>
        <v>战士系英灵伤害修正:4.41:数值:0:0</v>
      </c>
      <c r="L94" t="s">
        <v>217</v>
      </c>
      <c r="M94" s="4" t="s">
        <v>199</v>
      </c>
    </row>
    <row r="95" spans="7:13">
      <c r="G95" s="1" t="s">
        <v>218</v>
      </c>
      <c r="H95" s="1" t="s">
        <v>48</v>
      </c>
      <c r="I95" s="3">
        <v>0.2</v>
      </c>
      <c r="J95" s="3">
        <v>45000</v>
      </c>
      <c r="K95" t="str">
        <f t="shared" si="8"/>
        <v>战士系英灵伤害修正:4.5:数值:0:0</v>
      </c>
      <c r="L95" t="s">
        <v>219</v>
      </c>
      <c r="M95" s="4" t="s">
        <v>220</v>
      </c>
    </row>
    <row r="96" spans="7:13">
      <c r="G96" s="1" t="s">
        <v>221</v>
      </c>
      <c r="H96" s="1" t="s">
        <v>50</v>
      </c>
      <c r="I96" s="3">
        <v>0.1</v>
      </c>
      <c r="J96" s="3">
        <v>46000</v>
      </c>
      <c r="K96" t="str">
        <f>"战士系英灵伤害修正:"&amp;(4.6+(ROW(A2)-2)*0.1)&amp;":数值:0:0"</f>
        <v>战士系英灵伤害修正:4.6:数值:0:0</v>
      </c>
      <c r="L96" t="s">
        <v>222</v>
      </c>
      <c r="M96" s="4" t="s">
        <v>220</v>
      </c>
    </row>
    <row r="97" spans="2:13">
      <c r="G97" s="1" t="s">
        <v>223</v>
      </c>
      <c r="H97" s="1" t="s">
        <v>50</v>
      </c>
      <c r="I97" s="3">
        <v>0.1</v>
      </c>
      <c r="J97" s="3">
        <v>47000</v>
      </c>
      <c r="K97" t="str">
        <f t="shared" ref="K97:K105" si="9">"战士系英灵伤害修正:"&amp;(4.6+(ROW(A3)-2)*0.1)&amp;":数值:0:0"</f>
        <v>战士系英灵伤害修正:4.7:数值:0:0</v>
      </c>
      <c r="L97" t="s">
        <v>224</v>
      </c>
      <c r="M97" s="4" t="s">
        <v>220</v>
      </c>
    </row>
    <row r="98" spans="2:13">
      <c r="G98" s="1" t="s">
        <v>225</v>
      </c>
      <c r="H98" s="1" t="s">
        <v>50</v>
      </c>
      <c r="I98" s="3">
        <v>0.1</v>
      </c>
      <c r="J98" s="3">
        <v>48000</v>
      </c>
      <c r="K98" t="str">
        <f t="shared" si="9"/>
        <v>战士系英灵伤害修正:4.8:数值:0:0</v>
      </c>
      <c r="L98" t="s">
        <v>226</v>
      </c>
      <c r="M98" s="4" t="s">
        <v>220</v>
      </c>
    </row>
    <row r="99" spans="2:13">
      <c r="G99" s="1" t="s">
        <v>227</v>
      </c>
      <c r="H99" s="1" t="s">
        <v>50</v>
      </c>
      <c r="I99" s="3">
        <v>0.1</v>
      </c>
      <c r="J99" s="3">
        <v>49000</v>
      </c>
      <c r="K99" t="str">
        <f t="shared" si="9"/>
        <v>战士系英灵伤害修正:4.9:数值:0:0</v>
      </c>
      <c r="L99" t="s">
        <v>228</v>
      </c>
      <c r="M99" s="4" t="s">
        <v>220</v>
      </c>
    </row>
    <row r="100" spans="2:13">
      <c r="G100" s="1" t="s">
        <v>229</v>
      </c>
      <c r="H100" s="1" t="s">
        <v>50</v>
      </c>
      <c r="I100" s="3">
        <v>0.1</v>
      </c>
      <c r="J100" s="3">
        <v>50000</v>
      </c>
      <c r="K100" t="str">
        <f t="shared" si="9"/>
        <v>战士系英灵伤害修正:5:数值:0:0</v>
      </c>
      <c r="L100" t="s">
        <v>230</v>
      </c>
      <c r="M100" s="4" t="s">
        <v>220</v>
      </c>
    </row>
    <row r="101" spans="2:13">
      <c r="G101" s="1" t="s">
        <v>231</v>
      </c>
      <c r="H101" s="1" t="s">
        <v>50</v>
      </c>
      <c r="I101" s="3">
        <v>0.1</v>
      </c>
      <c r="J101" s="3">
        <v>51000</v>
      </c>
      <c r="K101" t="str">
        <f t="shared" si="9"/>
        <v>战士系英灵伤害修正:5.1:数值:0:0</v>
      </c>
      <c r="L101" t="s">
        <v>232</v>
      </c>
      <c r="M101" s="4" t="s">
        <v>220</v>
      </c>
    </row>
    <row r="102" spans="2:13">
      <c r="G102" s="1" t="s">
        <v>233</v>
      </c>
      <c r="H102" s="1" t="s">
        <v>50</v>
      </c>
      <c r="I102" s="3">
        <v>0.1</v>
      </c>
      <c r="J102" s="3">
        <v>52000</v>
      </c>
      <c r="K102" t="str">
        <f t="shared" si="9"/>
        <v>战士系英灵伤害修正:5.2:数值:0:0</v>
      </c>
      <c r="L102" t="s">
        <v>234</v>
      </c>
      <c r="M102" s="4" t="s">
        <v>220</v>
      </c>
    </row>
    <row r="103" spans="2:13">
      <c r="G103" s="1" t="s">
        <v>235</v>
      </c>
      <c r="H103" s="1" t="s">
        <v>50</v>
      </c>
      <c r="I103" s="3">
        <v>0.1</v>
      </c>
      <c r="J103" s="3">
        <v>53000</v>
      </c>
      <c r="K103" t="str">
        <f t="shared" si="9"/>
        <v>战士系英灵伤害修正:5.3:数值:0:0</v>
      </c>
      <c r="L103" t="s">
        <v>236</v>
      </c>
      <c r="M103" s="4" t="s">
        <v>220</v>
      </c>
    </row>
    <row r="104" spans="2:13">
      <c r="G104" s="1" t="s">
        <v>237</v>
      </c>
      <c r="H104" s="1" t="s">
        <v>50</v>
      </c>
      <c r="I104" s="3">
        <v>0.1</v>
      </c>
      <c r="J104" s="3">
        <v>54000</v>
      </c>
      <c r="K104" t="str">
        <f t="shared" si="9"/>
        <v>战士系英灵伤害修正:5.4:数值:0:0</v>
      </c>
      <c r="L104" t="s">
        <v>238</v>
      </c>
      <c r="M104" s="4" t="s">
        <v>220</v>
      </c>
    </row>
    <row r="105" spans="2:13">
      <c r="G105" s="1" t="s">
        <v>239</v>
      </c>
      <c r="H105" s="1" t="s">
        <v>50</v>
      </c>
      <c r="I105" s="3">
        <v>0.1</v>
      </c>
      <c r="J105" s="3">
        <v>55000</v>
      </c>
      <c r="K105" t="str">
        <f t="shared" si="9"/>
        <v>战士系英灵伤害修正:5.5:数值:0:0</v>
      </c>
      <c r="L105" t="s">
        <v>240</v>
      </c>
      <c r="M105" s="4"/>
    </row>
    <row r="107" spans="2:13">
      <c r="B107" s="1" t="s">
        <v>241</v>
      </c>
      <c r="C107" s="1" t="s">
        <v>242</v>
      </c>
      <c r="D107" s="1" t="s">
        <v>243</v>
      </c>
      <c r="E107" s="1" t="s">
        <v>244</v>
      </c>
      <c r="G107" s="1" t="s">
        <v>30</v>
      </c>
      <c r="H107" s="1" t="s">
        <v>31</v>
      </c>
      <c r="I107" s="1" t="s">
        <v>31</v>
      </c>
      <c r="J107" s="1" t="s">
        <v>30</v>
      </c>
      <c r="M107" s="4" t="s">
        <v>32</v>
      </c>
    </row>
    <row r="108" spans="2:13">
      <c r="G108" s="1" t="s">
        <v>31</v>
      </c>
      <c r="H108" s="1" t="s">
        <v>31</v>
      </c>
      <c r="I108" s="3">
        <v>1</v>
      </c>
      <c r="J108" s="3">
        <v>100</v>
      </c>
      <c r="K108" s="4" t="s">
        <v>245</v>
      </c>
      <c r="L108" t="s">
        <v>33</v>
      </c>
      <c r="M108" s="4" t="s">
        <v>32</v>
      </c>
    </row>
    <row r="109" spans="2:13">
      <c r="G109" s="1" t="s">
        <v>34</v>
      </c>
      <c r="H109" s="1" t="s">
        <v>31</v>
      </c>
      <c r="I109" s="3">
        <v>1</v>
      </c>
      <c r="J109" s="3">
        <v>200</v>
      </c>
      <c r="K109" s="4" t="s">
        <v>246</v>
      </c>
      <c r="L109" t="s">
        <v>35</v>
      </c>
      <c r="M109" s="4" t="s">
        <v>32</v>
      </c>
    </row>
    <row r="110" spans="2:13">
      <c r="G110" s="1" t="s">
        <v>36</v>
      </c>
      <c r="H110" s="1" t="s">
        <v>31</v>
      </c>
      <c r="I110" s="3">
        <v>1</v>
      </c>
      <c r="J110" s="3">
        <v>300</v>
      </c>
      <c r="K110" s="4" t="s">
        <v>247</v>
      </c>
      <c r="L110" t="s">
        <v>37</v>
      </c>
      <c r="M110" s="4" t="s">
        <v>32</v>
      </c>
    </row>
    <row r="111" spans="2:13">
      <c r="G111" s="1" t="s">
        <v>38</v>
      </c>
      <c r="H111" s="1" t="s">
        <v>31</v>
      </c>
      <c r="I111" s="3">
        <v>1</v>
      </c>
      <c r="J111" s="3">
        <v>400</v>
      </c>
      <c r="K111" s="4" t="s">
        <v>248</v>
      </c>
      <c r="L111" t="s">
        <v>39</v>
      </c>
      <c r="M111" s="4" t="s">
        <v>32</v>
      </c>
    </row>
    <row r="112" spans="2:13">
      <c r="G112" s="1" t="s">
        <v>40</v>
      </c>
      <c r="H112" s="1" t="s">
        <v>31</v>
      </c>
      <c r="I112" s="3">
        <v>1</v>
      </c>
      <c r="J112" s="3">
        <v>500</v>
      </c>
      <c r="K112" s="4" t="s">
        <v>249</v>
      </c>
      <c r="L112" t="s">
        <v>41</v>
      </c>
      <c r="M112" s="4" t="s">
        <v>32</v>
      </c>
    </row>
    <row r="113" spans="7:13">
      <c r="G113" s="1" t="s">
        <v>42</v>
      </c>
      <c r="H113" s="1" t="s">
        <v>31</v>
      </c>
      <c r="I113" s="3">
        <v>1</v>
      </c>
      <c r="J113" s="3">
        <v>600</v>
      </c>
      <c r="K113" s="4" t="s">
        <v>250</v>
      </c>
      <c r="L113" t="s">
        <v>43</v>
      </c>
      <c r="M113" s="4" t="s">
        <v>32</v>
      </c>
    </row>
    <row r="114" spans="7:13">
      <c r="G114" s="1" t="s">
        <v>44</v>
      </c>
      <c r="H114" s="1" t="s">
        <v>31</v>
      </c>
      <c r="I114" s="3">
        <v>1</v>
      </c>
      <c r="J114" s="3">
        <v>700</v>
      </c>
      <c r="K114" s="4" t="s">
        <v>251</v>
      </c>
      <c r="L114" t="s">
        <v>45</v>
      </c>
      <c r="M114" s="4" t="s">
        <v>32</v>
      </c>
    </row>
    <row r="115" spans="7:13">
      <c r="G115" s="1" t="s">
        <v>46</v>
      </c>
      <c r="H115" s="1" t="s">
        <v>31</v>
      </c>
      <c r="I115" s="3">
        <v>1</v>
      </c>
      <c r="J115" s="3">
        <v>800</v>
      </c>
      <c r="K115" s="4" t="s">
        <v>252</v>
      </c>
      <c r="L115" t="s">
        <v>47</v>
      </c>
      <c r="M115" s="4" t="s">
        <v>32</v>
      </c>
    </row>
    <row r="116" spans="7:13">
      <c r="G116" s="1" t="s">
        <v>48</v>
      </c>
      <c r="H116" s="1" t="s">
        <v>31</v>
      </c>
      <c r="I116" s="3">
        <v>1</v>
      </c>
      <c r="J116" s="3">
        <v>900</v>
      </c>
      <c r="K116" s="4" t="s">
        <v>253</v>
      </c>
      <c r="L116" t="s">
        <v>49</v>
      </c>
      <c r="M116" s="4" t="s">
        <v>32</v>
      </c>
    </row>
    <row r="117" spans="7:13">
      <c r="G117" s="1" t="s">
        <v>50</v>
      </c>
      <c r="H117" s="1" t="s">
        <v>31</v>
      </c>
      <c r="I117" s="3">
        <v>1</v>
      </c>
      <c r="J117" s="3">
        <v>1000</v>
      </c>
      <c r="K117" s="4" t="s">
        <v>254</v>
      </c>
      <c r="L117" t="s">
        <v>51</v>
      </c>
      <c r="M117" s="4" t="s">
        <v>52</v>
      </c>
    </row>
    <row r="118" spans="7:13">
      <c r="G118" s="1" t="s">
        <v>53</v>
      </c>
      <c r="H118" s="1" t="s">
        <v>34</v>
      </c>
      <c r="I118" s="3">
        <v>0.9</v>
      </c>
      <c r="J118" s="3">
        <v>1200</v>
      </c>
      <c r="K118" s="4" t="s">
        <v>255</v>
      </c>
      <c r="L118" t="s">
        <v>54</v>
      </c>
      <c r="M118" s="4" t="s">
        <v>52</v>
      </c>
    </row>
    <row r="119" spans="7:13">
      <c r="G119" s="1" t="s">
        <v>55</v>
      </c>
      <c r="H119" s="1" t="s">
        <v>34</v>
      </c>
      <c r="I119" s="3">
        <v>0.9</v>
      </c>
      <c r="J119" s="3">
        <v>1400</v>
      </c>
      <c r="K119" s="4" t="s">
        <v>256</v>
      </c>
      <c r="L119" t="s">
        <v>56</v>
      </c>
      <c r="M119" s="4" t="s">
        <v>52</v>
      </c>
    </row>
    <row r="120" spans="7:13">
      <c r="G120" s="1" t="s">
        <v>57</v>
      </c>
      <c r="H120" s="1" t="s">
        <v>34</v>
      </c>
      <c r="I120" s="3">
        <v>0.9</v>
      </c>
      <c r="J120" s="3">
        <v>1600</v>
      </c>
      <c r="K120" s="4" t="s">
        <v>257</v>
      </c>
      <c r="L120" t="s">
        <v>58</v>
      </c>
      <c r="M120" s="4" t="s">
        <v>52</v>
      </c>
    </row>
    <row r="121" spans="7:13">
      <c r="G121" s="1" t="s">
        <v>59</v>
      </c>
      <c r="H121" s="1" t="s">
        <v>34</v>
      </c>
      <c r="I121" s="3">
        <v>0.9</v>
      </c>
      <c r="J121" s="3">
        <v>1800</v>
      </c>
      <c r="K121" s="4" t="s">
        <v>258</v>
      </c>
      <c r="L121" t="s">
        <v>60</v>
      </c>
      <c r="M121" s="4" t="s">
        <v>52</v>
      </c>
    </row>
    <row r="122" spans="7:13">
      <c r="G122" s="1" t="s">
        <v>61</v>
      </c>
      <c r="H122" s="1" t="s">
        <v>34</v>
      </c>
      <c r="I122" s="3">
        <v>0.9</v>
      </c>
      <c r="J122" s="3">
        <v>2000</v>
      </c>
      <c r="K122" s="4" t="s">
        <v>259</v>
      </c>
      <c r="L122" t="s">
        <v>62</v>
      </c>
      <c r="M122" s="4" t="s">
        <v>52</v>
      </c>
    </row>
    <row r="123" spans="7:13">
      <c r="G123" s="1" t="s">
        <v>63</v>
      </c>
      <c r="H123" s="1" t="s">
        <v>34</v>
      </c>
      <c r="I123" s="3">
        <v>0.9</v>
      </c>
      <c r="J123" s="3">
        <v>2200</v>
      </c>
      <c r="K123" s="4" t="s">
        <v>260</v>
      </c>
      <c r="L123" t="s">
        <v>64</v>
      </c>
      <c r="M123" s="4" t="s">
        <v>52</v>
      </c>
    </row>
    <row r="124" spans="7:13">
      <c r="G124" s="1" t="s">
        <v>65</v>
      </c>
      <c r="H124" s="1" t="s">
        <v>34</v>
      </c>
      <c r="I124" s="3">
        <v>0.9</v>
      </c>
      <c r="J124" s="3">
        <v>2400</v>
      </c>
      <c r="K124" s="4" t="s">
        <v>261</v>
      </c>
      <c r="L124" t="s">
        <v>66</v>
      </c>
      <c r="M124" s="4" t="s">
        <v>52</v>
      </c>
    </row>
    <row r="125" spans="7:13">
      <c r="G125" s="1" t="s">
        <v>67</v>
      </c>
      <c r="H125" s="1" t="s">
        <v>34</v>
      </c>
      <c r="I125" s="3">
        <v>0.9</v>
      </c>
      <c r="J125" s="3">
        <v>2600</v>
      </c>
      <c r="K125" s="4" t="s">
        <v>262</v>
      </c>
      <c r="L125" t="s">
        <v>68</v>
      </c>
      <c r="M125" s="4" t="s">
        <v>52</v>
      </c>
    </row>
    <row r="126" spans="7:13">
      <c r="G126" s="1" t="s">
        <v>69</v>
      </c>
      <c r="H126" s="1" t="s">
        <v>34</v>
      </c>
      <c r="I126" s="3">
        <v>0.9</v>
      </c>
      <c r="J126" s="3">
        <v>2800</v>
      </c>
      <c r="K126" s="4" t="s">
        <v>263</v>
      </c>
      <c r="L126" t="s">
        <v>70</v>
      </c>
      <c r="M126" s="4" t="s">
        <v>52</v>
      </c>
    </row>
    <row r="127" spans="7:13">
      <c r="G127" s="1" t="s">
        <v>71</v>
      </c>
      <c r="H127" s="1" t="s">
        <v>34</v>
      </c>
      <c r="I127" s="3">
        <v>0.9</v>
      </c>
      <c r="J127" s="3">
        <v>3000</v>
      </c>
      <c r="K127" s="4" t="s">
        <v>264</v>
      </c>
      <c r="L127" t="s">
        <v>72</v>
      </c>
      <c r="M127" s="4" t="s">
        <v>73</v>
      </c>
    </row>
    <row r="128" spans="7:13">
      <c r="G128" s="1" t="s">
        <v>74</v>
      </c>
      <c r="H128" s="1" t="s">
        <v>36</v>
      </c>
      <c r="I128" s="3">
        <v>0.8</v>
      </c>
      <c r="J128" s="3">
        <v>3300</v>
      </c>
      <c r="K128" s="4" t="s">
        <v>265</v>
      </c>
      <c r="L128" t="s">
        <v>75</v>
      </c>
      <c r="M128" s="4" t="s">
        <v>73</v>
      </c>
    </row>
    <row r="129" spans="7:13">
      <c r="G129" s="1" t="s">
        <v>76</v>
      </c>
      <c r="H129" s="1" t="s">
        <v>36</v>
      </c>
      <c r="I129" s="3">
        <v>0.8</v>
      </c>
      <c r="J129" s="3">
        <v>3600</v>
      </c>
      <c r="K129" s="4" t="s">
        <v>266</v>
      </c>
      <c r="L129" t="s">
        <v>77</v>
      </c>
      <c r="M129" s="4" t="s">
        <v>73</v>
      </c>
    </row>
    <row r="130" spans="7:13">
      <c r="G130" s="1" t="s">
        <v>78</v>
      </c>
      <c r="H130" s="1" t="s">
        <v>36</v>
      </c>
      <c r="I130" s="3">
        <v>0.8</v>
      </c>
      <c r="J130" s="3">
        <v>3900</v>
      </c>
      <c r="K130" s="4" t="s">
        <v>267</v>
      </c>
      <c r="L130" t="s">
        <v>79</v>
      </c>
      <c r="M130" s="4" t="s">
        <v>73</v>
      </c>
    </row>
    <row r="131" spans="7:13">
      <c r="G131" s="1" t="s">
        <v>80</v>
      </c>
      <c r="H131" s="1" t="s">
        <v>36</v>
      </c>
      <c r="I131" s="3">
        <v>0.8</v>
      </c>
      <c r="J131" s="3">
        <v>4200</v>
      </c>
      <c r="K131" s="4" t="s">
        <v>268</v>
      </c>
      <c r="L131" t="s">
        <v>81</v>
      </c>
      <c r="M131" s="4" t="s">
        <v>73</v>
      </c>
    </row>
    <row r="132" spans="7:13">
      <c r="G132" s="1" t="s">
        <v>82</v>
      </c>
      <c r="H132" s="1" t="s">
        <v>36</v>
      </c>
      <c r="I132" s="3">
        <v>0.8</v>
      </c>
      <c r="J132" s="3">
        <v>4500</v>
      </c>
      <c r="K132" s="4" t="s">
        <v>269</v>
      </c>
      <c r="L132" t="s">
        <v>83</v>
      </c>
      <c r="M132" s="4" t="s">
        <v>73</v>
      </c>
    </row>
    <row r="133" spans="7:13">
      <c r="G133" s="1" t="s">
        <v>84</v>
      </c>
      <c r="H133" s="1" t="s">
        <v>36</v>
      </c>
      <c r="I133" s="3">
        <v>0.8</v>
      </c>
      <c r="J133" s="3">
        <v>4800</v>
      </c>
      <c r="K133" s="4" t="s">
        <v>270</v>
      </c>
      <c r="L133" t="s">
        <v>85</v>
      </c>
      <c r="M133" s="4" t="s">
        <v>73</v>
      </c>
    </row>
    <row r="134" spans="7:13">
      <c r="G134" s="1" t="s">
        <v>86</v>
      </c>
      <c r="H134" s="1" t="s">
        <v>36</v>
      </c>
      <c r="I134" s="3">
        <v>0.8</v>
      </c>
      <c r="J134" s="3">
        <v>5100</v>
      </c>
      <c r="K134" s="4" t="s">
        <v>271</v>
      </c>
      <c r="L134" t="s">
        <v>87</v>
      </c>
      <c r="M134" s="4" t="s">
        <v>73</v>
      </c>
    </row>
    <row r="135" spans="7:13">
      <c r="G135" s="1" t="s">
        <v>88</v>
      </c>
      <c r="H135" s="1" t="s">
        <v>36</v>
      </c>
      <c r="I135" s="3">
        <v>0.8</v>
      </c>
      <c r="J135" s="3">
        <v>5400</v>
      </c>
      <c r="K135" s="4" t="s">
        <v>272</v>
      </c>
      <c r="L135" t="s">
        <v>89</v>
      </c>
      <c r="M135" s="4" t="s">
        <v>73</v>
      </c>
    </row>
    <row r="136" spans="7:13">
      <c r="G136" s="1" t="s">
        <v>90</v>
      </c>
      <c r="H136" s="1" t="s">
        <v>36</v>
      </c>
      <c r="I136" s="3">
        <v>0.8</v>
      </c>
      <c r="J136" s="3">
        <v>5700</v>
      </c>
      <c r="K136" s="4" t="s">
        <v>273</v>
      </c>
      <c r="L136" t="s">
        <v>91</v>
      </c>
      <c r="M136" s="4" t="s">
        <v>73</v>
      </c>
    </row>
    <row r="137" spans="7:13">
      <c r="G137" s="1" t="s">
        <v>92</v>
      </c>
      <c r="H137" s="1" t="s">
        <v>36</v>
      </c>
      <c r="I137" s="3">
        <v>0.8</v>
      </c>
      <c r="J137" s="3">
        <v>6000</v>
      </c>
      <c r="K137" s="4" t="s">
        <v>274</v>
      </c>
      <c r="L137" t="s">
        <v>93</v>
      </c>
      <c r="M137" s="4" t="s">
        <v>94</v>
      </c>
    </row>
    <row r="138" spans="7:13">
      <c r="G138" s="1" t="s">
        <v>95</v>
      </c>
      <c r="H138" s="1" t="s">
        <v>38</v>
      </c>
      <c r="I138" s="3">
        <v>0.7</v>
      </c>
      <c r="J138" s="3">
        <v>6400</v>
      </c>
      <c r="K138" s="4" t="s">
        <v>275</v>
      </c>
      <c r="L138" t="s">
        <v>96</v>
      </c>
      <c r="M138" s="4" t="s">
        <v>94</v>
      </c>
    </row>
    <row r="139" spans="7:13">
      <c r="G139" s="1" t="s">
        <v>97</v>
      </c>
      <c r="H139" s="1" t="s">
        <v>38</v>
      </c>
      <c r="I139" s="3">
        <v>0.7</v>
      </c>
      <c r="J139" s="3">
        <v>6800</v>
      </c>
      <c r="K139" s="4" t="s">
        <v>276</v>
      </c>
      <c r="L139" t="s">
        <v>98</v>
      </c>
      <c r="M139" s="4" t="s">
        <v>94</v>
      </c>
    </row>
    <row r="140" spans="7:13">
      <c r="G140" s="1" t="s">
        <v>99</v>
      </c>
      <c r="H140" s="1" t="s">
        <v>38</v>
      </c>
      <c r="I140" s="3">
        <v>0.7</v>
      </c>
      <c r="J140" s="3">
        <v>7200</v>
      </c>
      <c r="K140" s="4" t="s">
        <v>277</v>
      </c>
      <c r="L140" t="s">
        <v>100</v>
      </c>
      <c r="M140" s="4" t="s">
        <v>94</v>
      </c>
    </row>
    <row r="141" spans="7:13">
      <c r="G141" s="1" t="s">
        <v>101</v>
      </c>
      <c r="H141" s="1" t="s">
        <v>38</v>
      </c>
      <c r="I141" s="3">
        <v>0.7</v>
      </c>
      <c r="J141" s="3">
        <v>7600</v>
      </c>
      <c r="K141" s="4" t="s">
        <v>278</v>
      </c>
      <c r="L141" t="s">
        <v>102</v>
      </c>
      <c r="M141" s="4" t="s">
        <v>94</v>
      </c>
    </row>
    <row r="142" spans="7:13">
      <c r="G142" s="1" t="s">
        <v>103</v>
      </c>
      <c r="H142" s="1" t="s">
        <v>38</v>
      </c>
      <c r="I142" s="3">
        <v>0.7</v>
      </c>
      <c r="J142" s="3">
        <v>8000</v>
      </c>
      <c r="K142" s="4" t="s">
        <v>279</v>
      </c>
      <c r="L142" t="s">
        <v>104</v>
      </c>
      <c r="M142" s="4" t="s">
        <v>94</v>
      </c>
    </row>
    <row r="143" spans="7:13">
      <c r="G143" s="1" t="s">
        <v>105</v>
      </c>
      <c r="H143" s="1" t="s">
        <v>38</v>
      </c>
      <c r="I143" s="3">
        <v>0.7</v>
      </c>
      <c r="J143" s="3">
        <v>8400</v>
      </c>
      <c r="K143" s="4" t="s">
        <v>280</v>
      </c>
      <c r="L143" t="s">
        <v>106</v>
      </c>
      <c r="M143" s="4" t="s">
        <v>94</v>
      </c>
    </row>
    <row r="144" spans="7:13">
      <c r="G144" s="1" t="s">
        <v>107</v>
      </c>
      <c r="H144" s="1" t="s">
        <v>38</v>
      </c>
      <c r="I144" s="3">
        <v>0.7</v>
      </c>
      <c r="J144" s="3">
        <v>8800</v>
      </c>
      <c r="K144" s="4" t="s">
        <v>281</v>
      </c>
      <c r="L144" t="s">
        <v>108</v>
      </c>
      <c r="M144" s="4" t="s">
        <v>94</v>
      </c>
    </row>
    <row r="145" spans="7:13">
      <c r="G145" s="1" t="s">
        <v>109</v>
      </c>
      <c r="H145" s="1" t="s">
        <v>38</v>
      </c>
      <c r="I145" s="3">
        <v>0.7</v>
      </c>
      <c r="J145" s="3">
        <v>9200</v>
      </c>
      <c r="K145" s="4" t="s">
        <v>282</v>
      </c>
      <c r="L145" t="s">
        <v>110</v>
      </c>
      <c r="M145" s="4" t="s">
        <v>94</v>
      </c>
    </row>
    <row r="146" spans="7:13">
      <c r="G146" s="1" t="s">
        <v>111</v>
      </c>
      <c r="H146" s="1" t="s">
        <v>38</v>
      </c>
      <c r="I146" s="3">
        <v>0.7</v>
      </c>
      <c r="J146" s="3">
        <v>9600</v>
      </c>
      <c r="K146" s="4" t="s">
        <v>283</v>
      </c>
      <c r="L146" t="s">
        <v>112</v>
      </c>
      <c r="M146" s="4" t="s">
        <v>94</v>
      </c>
    </row>
    <row r="147" spans="7:13">
      <c r="G147" s="1" t="s">
        <v>113</v>
      </c>
      <c r="H147" s="1" t="s">
        <v>38</v>
      </c>
      <c r="I147" s="3">
        <v>0.7</v>
      </c>
      <c r="J147" s="3">
        <v>10000</v>
      </c>
      <c r="K147" s="4" t="s">
        <v>284</v>
      </c>
      <c r="L147" t="s">
        <v>114</v>
      </c>
      <c r="M147" s="4" t="s">
        <v>115</v>
      </c>
    </row>
    <row r="148" spans="7:13">
      <c r="G148" s="1" t="s">
        <v>116</v>
      </c>
      <c r="H148" s="1" t="s">
        <v>40</v>
      </c>
      <c r="I148" s="3">
        <v>0.6</v>
      </c>
      <c r="J148" s="3">
        <v>10500</v>
      </c>
      <c r="K148" s="4" t="s">
        <v>285</v>
      </c>
      <c r="L148" t="s">
        <v>117</v>
      </c>
      <c r="M148" s="4" t="s">
        <v>115</v>
      </c>
    </row>
    <row r="149" spans="7:13">
      <c r="G149" s="1" t="s">
        <v>118</v>
      </c>
      <c r="H149" s="1" t="s">
        <v>40</v>
      </c>
      <c r="I149" s="3">
        <v>0.6</v>
      </c>
      <c r="J149" s="3">
        <v>11000</v>
      </c>
      <c r="K149" s="4" t="s">
        <v>286</v>
      </c>
      <c r="L149" t="s">
        <v>119</v>
      </c>
      <c r="M149" s="4" t="s">
        <v>115</v>
      </c>
    </row>
    <row r="150" spans="7:13">
      <c r="G150" s="1" t="s">
        <v>120</v>
      </c>
      <c r="H150" s="1" t="s">
        <v>40</v>
      </c>
      <c r="I150" s="3">
        <v>0.6</v>
      </c>
      <c r="J150" s="3">
        <v>11500</v>
      </c>
      <c r="K150" s="4" t="s">
        <v>287</v>
      </c>
      <c r="L150" t="s">
        <v>121</v>
      </c>
      <c r="M150" s="4" t="s">
        <v>115</v>
      </c>
    </row>
    <row r="151" spans="7:13">
      <c r="G151" s="1" t="s">
        <v>122</v>
      </c>
      <c r="H151" s="1" t="s">
        <v>40</v>
      </c>
      <c r="I151" s="3">
        <v>0.6</v>
      </c>
      <c r="J151" s="3">
        <v>12000</v>
      </c>
      <c r="K151" s="4" t="s">
        <v>288</v>
      </c>
      <c r="L151" t="s">
        <v>123</v>
      </c>
      <c r="M151" s="4" t="s">
        <v>115</v>
      </c>
    </row>
    <row r="152" spans="7:13">
      <c r="G152" s="1" t="s">
        <v>124</v>
      </c>
      <c r="H152" s="1" t="s">
        <v>40</v>
      </c>
      <c r="I152" s="3">
        <v>0.6</v>
      </c>
      <c r="J152" s="3">
        <v>12500</v>
      </c>
      <c r="K152" s="4" t="s">
        <v>289</v>
      </c>
      <c r="L152" t="s">
        <v>125</v>
      </c>
      <c r="M152" s="4" t="s">
        <v>115</v>
      </c>
    </row>
    <row r="153" spans="7:13">
      <c r="G153" s="1" t="s">
        <v>126</v>
      </c>
      <c r="H153" s="1" t="s">
        <v>40</v>
      </c>
      <c r="I153" s="3">
        <v>0.6</v>
      </c>
      <c r="J153" s="3">
        <v>13000</v>
      </c>
      <c r="K153" s="4" t="s">
        <v>290</v>
      </c>
      <c r="L153" t="s">
        <v>127</v>
      </c>
      <c r="M153" s="4" t="s">
        <v>115</v>
      </c>
    </row>
    <row r="154" spans="7:13">
      <c r="G154" s="1" t="s">
        <v>128</v>
      </c>
      <c r="H154" s="1" t="s">
        <v>40</v>
      </c>
      <c r="I154" s="3">
        <v>0.6</v>
      </c>
      <c r="J154" s="3">
        <v>13500</v>
      </c>
      <c r="K154" s="4" t="s">
        <v>291</v>
      </c>
      <c r="L154" t="s">
        <v>129</v>
      </c>
      <c r="M154" s="4" t="s">
        <v>115</v>
      </c>
    </row>
    <row r="155" spans="7:13">
      <c r="G155" s="1" t="s">
        <v>130</v>
      </c>
      <c r="H155" s="1" t="s">
        <v>40</v>
      </c>
      <c r="I155" s="3">
        <v>0.6</v>
      </c>
      <c r="J155" s="3">
        <v>14000</v>
      </c>
      <c r="K155" s="4" t="s">
        <v>292</v>
      </c>
      <c r="L155" t="s">
        <v>131</v>
      </c>
      <c r="M155" s="4" t="s">
        <v>115</v>
      </c>
    </row>
    <row r="156" spans="7:13">
      <c r="G156" s="1" t="s">
        <v>132</v>
      </c>
      <c r="H156" s="1" t="s">
        <v>40</v>
      </c>
      <c r="I156" s="3">
        <v>0.6</v>
      </c>
      <c r="J156" s="3">
        <v>14500</v>
      </c>
      <c r="K156" s="4" t="s">
        <v>293</v>
      </c>
      <c r="L156" t="s">
        <v>133</v>
      </c>
      <c r="M156" s="4" t="s">
        <v>115</v>
      </c>
    </row>
    <row r="157" spans="7:13">
      <c r="G157" s="1" t="s">
        <v>134</v>
      </c>
      <c r="H157" s="1" t="s">
        <v>40</v>
      </c>
      <c r="I157" s="3">
        <v>0.6</v>
      </c>
      <c r="J157" s="3">
        <v>15000</v>
      </c>
      <c r="K157" s="4" t="s">
        <v>294</v>
      </c>
      <c r="L157" t="s">
        <v>135</v>
      </c>
      <c r="M157" s="4" t="s">
        <v>136</v>
      </c>
    </row>
    <row r="158" spans="7:13">
      <c r="G158" s="1" t="s">
        <v>137</v>
      </c>
      <c r="H158" s="1" t="s">
        <v>42</v>
      </c>
      <c r="I158" s="3">
        <v>0.5</v>
      </c>
      <c r="J158" s="3">
        <v>15600</v>
      </c>
      <c r="K158" s="4" t="s">
        <v>295</v>
      </c>
      <c r="L158" t="s">
        <v>138</v>
      </c>
      <c r="M158" s="4" t="s">
        <v>136</v>
      </c>
    </row>
    <row r="159" spans="7:13">
      <c r="G159" s="1" t="s">
        <v>139</v>
      </c>
      <c r="H159" s="1" t="s">
        <v>42</v>
      </c>
      <c r="I159" s="3">
        <v>0.5</v>
      </c>
      <c r="J159" s="3">
        <v>16200</v>
      </c>
      <c r="K159" s="4" t="s">
        <v>296</v>
      </c>
      <c r="L159" t="s">
        <v>140</v>
      </c>
      <c r="M159" s="4" t="s">
        <v>136</v>
      </c>
    </row>
    <row r="160" spans="7:13">
      <c r="G160" s="1" t="s">
        <v>141</v>
      </c>
      <c r="H160" s="1" t="s">
        <v>42</v>
      </c>
      <c r="I160" s="3">
        <v>0.5</v>
      </c>
      <c r="J160" s="3">
        <v>16800</v>
      </c>
      <c r="K160" s="4" t="s">
        <v>297</v>
      </c>
      <c r="L160" t="s">
        <v>142</v>
      </c>
      <c r="M160" s="4" t="s">
        <v>136</v>
      </c>
    </row>
    <row r="161" spans="7:13">
      <c r="G161" s="1" t="s">
        <v>143</v>
      </c>
      <c r="H161" s="1" t="s">
        <v>42</v>
      </c>
      <c r="I161" s="3">
        <v>0.5</v>
      </c>
      <c r="J161" s="3">
        <v>17400</v>
      </c>
      <c r="K161" s="4" t="s">
        <v>298</v>
      </c>
      <c r="L161" t="s">
        <v>144</v>
      </c>
      <c r="M161" s="4" t="s">
        <v>136</v>
      </c>
    </row>
    <row r="162" spans="7:13">
      <c r="G162" s="1" t="s">
        <v>145</v>
      </c>
      <c r="H162" s="1" t="s">
        <v>42</v>
      </c>
      <c r="I162" s="3">
        <v>0.5</v>
      </c>
      <c r="J162" s="3">
        <v>18000</v>
      </c>
      <c r="K162" s="4" t="s">
        <v>299</v>
      </c>
      <c r="L162" t="s">
        <v>146</v>
      </c>
      <c r="M162" s="4" t="s">
        <v>136</v>
      </c>
    </row>
    <row r="163" spans="7:13">
      <c r="G163" s="1" t="s">
        <v>147</v>
      </c>
      <c r="H163" s="1" t="s">
        <v>42</v>
      </c>
      <c r="I163" s="3">
        <v>0.5</v>
      </c>
      <c r="J163" s="3">
        <v>18600</v>
      </c>
      <c r="K163" s="4" t="s">
        <v>300</v>
      </c>
      <c r="L163" t="s">
        <v>148</v>
      </c>
      <c r="M163" s="4" t="s">
        <v>136</v>
      </c>
    </row>
    <row r="164" spans="7:13">
      <c r="G164" s="1" t="s">
        <v>149</v>
      </c>
      <c r="H164" s="1" t="s">
        <v>42</v>
      </c>
      <c r="I164" s="3">
        <v>0.5</v>
      </c>
      <c r="J164" s="3">
        <v>19200</v>
      </c>
      <c r="K164" s="4" t="s">
        <v>301</v>
      </c>
      <c r="L164" t="s">
        <v>150</v>
      </c>
      <c r="M164" s="4" t="s">
        <v>136</v>
      </c>
    </row>
    <row r="165" spans="7:13">
      <c r="G165" s="1" t="s">
        <v>151</v>
      </c>
      <c r="H165" s="1" t="s">
        <v>42</v>
      </c>
      <c r="I165" s="3">
        <v>0.5</v>
      </c>
      <c r="J165" s="3">
        <v>19800</v>
      </c>
      <c r="K165" s="4" t="s">
        <v>302</v>
      </c>
      <c r="L165" t="s">
        <v>152</v>
      </c>
      <c r="M165" s="4" t="s">
        <v>136</v>
      </c>
    </row>
    <row r="166" spans="7:13">
      <c r="G166" s="1" t="s">
        <v>153</v>
      </c>
      <c r="H166" s="1" t="s">
        <v>42</v>
      </c>
      <c r="I166" s="3">
        <v>0.5</v>
      </c>
      <c r="J166" s="3">
        <v>20400</v>
      </c>
      <c r="K166" s="4" t="s">
        <v>303</v>
      </c>
      <c r="L166" t="s">
        <v>154</v>
      </c>
      <c r="M166" s="4" t="s">
        <v>136</v>
      </c>
    </row>
    <row r="167" spans="7:13">
      <c r="G167" s="1" t="s">
        <v>155</v>
      </c>
      <c r="H167" s="1" t="s">
        <v>42</v>
      </c>
      <c r="I167" s="3">
        <v>0.5</v>
      </c>
      <c r="J167" s="3">
        <v>21000</v>
      </c>
      <c r="K167" s="4" t="s">
        <v>304</v>
      </c>
      <c r="L167" t="s">
        <v>156</v>
      </c>
      <c r="M167" s="4" t="s">
        <v>157</v>
      </c>
    </row>
    <row r="168" spans="7:13">
      <c r="G168" s="1" t="s">
        <v>158</v>
      </c>
      <c r="H168" s="1" t="s">
        <v>44</v>
      </c>
      <c r="I168" s="3">
        <v>0.4</v>
      </c>
      <c r="J168" s="3">
        <v>21700</v>
      </c>
      <c r="K168" s="4" t="s">
        <v>305</v>
      </c>
      <c r="L168" t="s">
        <v>159</v>
      </c>
      <c r="M168" s="4" t="s">
        <v>157</v>
      </c>
    </row>
    <row r="169" spans="7:13">
      <c r="G169" s="1" t="s">
        <v>160</v>
      </c>
      <c r="H169" s="1" t="s">
        <v>44</v>
      </c>
      <c r="I169" s="3">
        <v>0.4</v>
      </c>
      <c r="J169" s="3">
        <v>22400</v>
      </c>
      <c r="K169" s="4" t="s">
        <v>306</v>
      </c>
      <c r="L169" t="s">
        <v>161</v>
      </c>
      <c r="M169" s="4" t="s">
        <v>157</v>
      </c>
    </row>
    <row r="170" spans="7:13">
      <c r="G170" s="1" t="s">
        <v>162</v>
      </c>
      <c r="H170" s="1" t="s">
        <v>44</v>
      </c>
      <c r="I170" s="3">
        <v>0.4</v>
      </c>
      <c r="J170" s="3">
        <v>23100</v>
      </c>
      <c r="K170" s="4" t="s">
        <v>307</v>
      </c>
      <c r="L170" t="s">
        <v>163</v>
      </c>
      <c r="M170" s="4" t="s">
        <v>157</v>
      </c>
    </row>
    <row r="171" spans="7:13">
      <c r="G171" s="1" t="s">
        <v>164</v>
      </c>
      <c r="H171" s="1" t="s">
        <v>44</v>
      </c>
      <c r="I171" s="3">
        <v>0.4</v>
      </c>
      <c r="J171" s="3">
        <v>23800</v>
      </c>
      <c r="K171" s="4" t="s">
        <v>308</v>
      </c>
      <c r="L171" t="s">
        <v>165</v>
      </c>
      <c r="M171" s="4" t="s">
        <v>157</v>
      </c>
    </row>
    <row r="172" spans="7:13">
      <c r="G172" s="1" t="s">
        <v>166</v>
      </c>
      <c r="H172" s="1" t="s">
        <v>44</v>
      </c>
      <c r="I172" s="3">
        <v>0.4</v>
      </c>
      <c r="J172" s="3">
        <v>24500</v>
      </c>
      <c r="K172" s="4" t="s">
        <v>309</v>
      </c>
      <c r="L172" t="s">
        <v>167</v>
      </c>
      <c r="M172" s="4" t="s">
        <v>157</v>
      </c>
    </row>
    <row r="173" spans="7:13">
      <c r="G173" s="1" t="s">
        <v>168</v>
      </c>
      <c r="H173" s="1" t="s">
        <v>44</v>
      </c>
      <c r="I173" s="3">
        <v>0.4</v>
      </c>
      <c r="J173" s="3">
        <v>25200</v>
      </c>
      <c r="K173" s="4" t="s">
        <v>310</v>
      </c>
      <c r="L173" t="s">
        <v>169</v>
      </c>
      <c r="M173" s="4" t="s">
        <v>157</v>
      </c>
    </row>
    <row r="174" spans="7:13">
      <c r="G174" s="1" t="s">
        <v>170</v>
      </c>
      <c r="H174" s="1" t="s">
        <v>44</v>
      </c>
      <c r="I174" s="3">
        <v>0.4</v>
      </c>
      <c r="J174" s="3">
        <v>25900</v>
      </c>
      <c r="K174" s="4" t="s">
        <v>311</v>
      </c>
      <c r="L174" t="s">
        <v>171</v>
      </c>
      <c r="M174" s="4" t="s">
        <v>157</v>
      </c>
    </row>
    <row r="175" spans="7:13">
      <c r="G175" s="1" t="s">
        <v>172</v>
      </c>
      <c r="H175" s="1" t="s">
        <v>44</v>
      </c>
      <c r="I175" s="3">
        <v>0.4</v>
      </c>
      <c r="J175" s="3">
        <v>26600</v>
      </c>
      <c r="K175" s="4" t="s">
        <v>312</v>
      </c>
      <c r="L175" t="s">
        <v>173</v>
      </c>
      <c r="M175" s="4" t="s">
        <v>157</v>
      </c>
    </row>
    <row r="176" spans="7:13">
      <c r="G176" s="1" t="s">
        <v>174</v>
      </c>
      <c r="H176" s="1" t="s">
        <v>44</v>
      </c>
      <c r="I176" s="3">
        <v>0.4</v>
      </c>
      <c r="J176" s="3">
        <v>27300</v>
      </c>
      <c r="K176" s="4" t="s">
        <v>313</v>
      </c>
      <c r="L176" t="s">
        <v>175</v>
      </c>
      <c r="M176" s="4" t="s">
        <v>157</v>
      </c>
    </row>
    <row r="177" spans="7:13">
      <c r="G177" s="1" t="s">
        <v>176</v>
      </c>
      <c r="H177" s="1" t="s">
        <v>44</v>
      </c>
      <c r="I177" s="3">
        <v>0.4</v>
      </c>
      <c r="J177" s="3">
        <v>28000</v>
      </c>
      <c r="K177" s="4" t="s">
        <v>314</v>
      </c>
      <c r="L177" t="s">
        <v>177</v>
      </c>
      <c r="M177" s="4" t="s">
        <v>178</v>
      </c>
    </row>
    <row r="178" spans="7:13">
      <c r="G178" s="1" t="s">
        <v>179</v>
      </c>
      <c r="H178" s="1" t="s">
        <v>46</v>
      </c>
      <c r="I178" s="3">
        <v>0.3</v>
      </c>
      <c r="J178" s="3">
        <v>28800</v>
      </c>
      <c r="K178" s="4" t="s">
        <v>315</v>
      </c>
      <c r="L178" t="s">
        <v>180</v>
      </c>
      <c r="M178" s="4" t="s">
        <v>178</v>
      </c>
    </row>
    <row r="179" spans="7:13">
      <c r="G179" s="1" t="s">
        <v>181</v>
      </c>
      <c r="H179" s="1" t="s">
        <v>46</v>
      </c>
      <c r="I179" s="3">
        <v>0.3</v>
      </c>
      <c r="J179" s="3">
        <v>29600</v>
      </c>
      <c r="K179" s="4" t="s">
        <v>316</v>
      </c>
      <c r="L179" t="s">
        <v>182</v>
      </c>
      <c r="M179" s="4" t="s">
        <v>178</v>
      </c>
    </row>
    <row r="180" spans="7:13">
      <c r="G180" s="1" t="s">
        <v>183</v>
      </c>
      <c r="H180" s="1" t="s">
        <v>46</v>
      </c>
      <c r="I180" s="3">
        <v>0.3</v>
      </c>
      <c r="J180" s="3">
        <v>30400</v>
      </c>
      <c r="K180" s="4" t="s">
        <v>317</v>
      </c>
      <c r="L180" t="s">
        <v>184</v>
      </c>
      <c r="M180" s="4" t="s">
        <v>178</v>
      </c>
    </row>
    <row r="181" spans="7:13">
      <c r="G181" s="1" t="s">
        <v>185</v>
      </c>
      <c r="H181" s="1" t="s">
        <v>46</v>
      </c>
      <c r="I181" s="3">
        <v>0.3</v>
      </c>
      <c r="J181" s="3">
        <v>31200</v>
      </c>
      <c r="K181" s="4" t="s">
        <v>318</v>
      </c>
      <c r="L181" t="s">
        <v>186</v>
      </c>
      <c r="M181" s="4" t="s">
        <v>178</v>
      </c>
    </row>
    <row r="182" spans="7:13">
      <c r="G182" s="1" t="s">
        <v>187</v>
      </c>
      <c r="H182" s="1" t="s">
        <v>46</v>
      </c>
      <c r="I182" s="3">
        <v>0.3</v>
      </c>
      <c r="J182" s="3">
        <v>32000</v>
      </c>
      <c r="K182" s="4" t="s">
        <v>319</v>
      </c>
      <c r="L182" t="s">
        <v>188</v>
      </c>
      <c r="M182" s="4" t="s">
        <v>178</v>
      </c>
    </row>
    <row r="183" spans="7:13">
      <c r="G183" s="1" t="s">
        <v>189</v>
      </c>
      <c r="H183" s="1" t="s">
        <v>46</v>
      </c>
      <c r="I183" s="3">
        <v>0.3</v>
      </c>
      <c r="J183" s="3">
        <v>32800</v>
      </c>
      <c r="K183" s="4" t="s">
        <v>320</v>
      </c>
      <c r="L183" t="s">
        <v>190</v>
      </c>
      <c r="M183" s="4" t="s">
        <v>178</v>
      </c>
    </row>
    <row r="184" spans="7:13">
      <c r="G184" s="1" t="s">
        <v>191</v>
      </c>
      <c r="H184" s="1" t="s">
        <v>46</v>
      </c>
      <c r="I184" s="3">
        <v>0.3</v>
      </c>
      <c r="J184" s="3">
        <v>33600</v>
      </c>
      <c r="K184" s="4" t="s">
        <v>321</v>
      </c>
      <c r="L184" t="s">
        <v>192</v>
      </c>
      <c r="M184" s="4" t="s">
        <v>178</v>
      </c>
    </row>
    <row r="185" spans="7:13">
      <c r="G185" s="1" t="s">
        <v>193</v>
      </c>
      <c r="H185" s="1" t="s">
        <v>46</v>
      </c>
      <c r="I185" s="3">
        <v>0.3</v>
      </c>
      <c r="J185" s="3">
        <v>34400</v>
      </c>
      <c r="K185" s="4" t="s">
        <v>322</v>
      </c>
      <c r="L185" t="s">
        <v>194</v>
      </c>
      <c r="M185" s="4" t="s">
        <v>178</v>
      </c>
    </row>
    <row r="186" spans="7:13">
      <c r="G186" s="1" t="s">
        <v>195</v>
      </c>
      <c r="H186" s="1" t="s">
        <v>46</v>
      </c>
      <c r="I186" s="3">
        <v>0.3</v>
      </c>
      <c r="J186" s="3">
        <v>35200</v>
      </c>
      <c r="K186" s="4" t="s">
        <v>323</v>
      </c>
      <c r="L186" t="s">
        <v>196</v>
      </c>
      <c r="M186" s="4" t="s">
        <v>178</v>
      </c>
    </row>
    <row r="187" spans="7:13">
      <c r="G187" s="1" t="s">
        <v>197</v>
      </c>
      <c r="H187" s="1" t="s">
        <v>46</v>
      </c>
      <c r="I187" s="3">
        <v>0.3</v>
      </c>
      <c r="J187" s="3">
        <v>36000</v>
      </c>
      <c r="K187" s="4" t="s">
        <v>324</v>
      </c>
      <c r="L187" t="s">
        <v>198</v>
      </c>
      <c r="M187" s="4" t="s">
        <v>199</v>
      </c>
    </row>
    <row r="188" spans="7:13">
      <c r="G188" s="1" t="s">
        <v>200</v>
      </c>
      <c r="H188" s="1" t="s">
        <v>48</v>
      </c>
      <c r="I188" s="3">
        <v>0.2</v>
      </c>
      <c r="J188" s="3">
        <v>36900</v>
      </c>
      <c r="K188" s="4" t="s">
        <v>325</v>
      </c>
      <c r="L188" t="s">
        <v>201</v>
      </c>
      <c r="M188" s="4" t="s">
        <v>199</v>
      </c>
    </row>
    <row r="189" spans="7:13">
      <c r="G189" s="1" t="s">
        <v>202</v>
      </c>
      <c r="H189" s="1" t="s">
        <v>48</v>
      </c>
      <c r="I189" s="3">
        <v>0.2</v>
      </c>
      <c r="J189" s="3">
        <v>37800</v>
      </c>
      <c r="K189" s="4" t="s">
        <v>326</v>
      </c>
      <c r="L189" t="s">
        <v>203</v>
      </c>
      <c r="M189" s="4" t="s">
        <v>199</v>
      </c>
    </row>
    <row r="190" spans="7:13">
      <c r="G190" s="1" t="s">
        <v>204</v>
      </c>
      <c r="H190" s="1" t="s">
        <v>48</v>
      </c>
      <c r="I190" s="3">
        <v>0.2</v>
      </c>
      <c r="J190" s="3">
        <v>38700</v>
      </c>
      <c r="K190" s="4" t="s">
        <v>327</v>
      </c>
      <c r="L190" t="s">
        <v>205</v>
      </c>
      <c r="M190" s="4" t="s">
        <v>199</v>
      </c>
    </row>
    <row r="191" spans="7:13">
      <c r="G191" s="1" t="s">
        <v>206</v>
      </c>
      <c r="H191" s="1" t="s">
        <v>48</v>
      </c>
      <c r="I191" s="3">
        <v>0.2</v>
      </c>
      <c r="J191" s="3">
        <v>39600</v>
      </c>
      <c r="K191" s="4" t="s">
        <v>328</v>
      </c>
      <c r="L191" t="s">
        <v>207</v>
      </c>
      <c r="M191" s="4" t="s">
        <v>199</v>
      </c>
    </row>
    <row r="192" spans="7:13">
      <c r="G192" s="1" t="s">
        <v>208</v>
      </c>
      <c r="H192" s="1" t="s">
        <v>48</v>
      </c>
      <c r="I192" s="3">
        <v>0.2</v>
      </c>
      <c r="J192" s="3">
        <v>40500</v>
      </c>
      <c r="K192" s="4" t="s">
        <v>329</v>
      </c>
      <c r="L192" t="s">
        <v>209</v>
      </c>
      <c r="M192" s="4" t="s">
        <v>199</v>
      </c>
    </row>
    <row r="193" spans="7:13">
      <c r="G193" s="1" t="s">
        <v>210</v>
      </c>
      <c r="H193" s="1" t="s">
        <v>48</v>
      </c>
      <c r="I193" s="3">
        <v>0.2</v>
      </c>
      <c r="J193" s="3">
        <v>41400</v>
      </c>
      <c r="K193" s="4" t="s">
        <v>330</v>
      </c>
      <c r="L193" t="s">
        <v>211</v>
      </c>
      <c r="M193" s="4" t="s">
        <v>199</v>
      </c>
    </row>
    <row r="194" spans="7:13">
      <c r="G194" s="1" t="s">
        <v>212</v>
      </c>
      <c r="H194" s="1" t="s">
        <v>48</v>
      </c>
      <c r="I194" s="3">
        <v>0.2</v>
      </c>
      <c r="J194" s="3">
        <v>42300</v>
      </c>
      <c r="K194" s="4" t="s">
        <v>331</v>
      </c>
      <c r="L194" t="s">
        <v>213</v>
      </c>
      <c r="M194" s="4" t="s">
        <v>199</v>
      </c>
    </row>
    <row r="195" spans="7:13">
      <c r="G195" s="1" t="s">
        <v>214</v>
      </c>
      <c r="H195" s="1" t="s">
        <v>48</v>
      </c>
      <c r="I195" s="3">
        <v>0.2</v>
      </c>
      <c r="J195" s="3">
        <v>43200</v>
      </c>
      <c r="K195" s="4" t="s">
        <v>332</v>
      </c>
      <c r="L195" t="s">
        <v>215</v>
      </c>
      <c r="M195" s="4" t="s">
        <v>199</v>
      </c>
    </row>
    <row r="196" spans="7:13">
      <c r="G196" s="1" t="s">
        <v>216</v>
      </c>
      <c r="H196" s="1" t="s">
        <v>48</v>
      </c>
      <c r="I196" s="3">
        <v>0.2</v>
      </c>
      <c r="J196" s="3">
        <v>44100</v>
      </c>
      <c r="K196" s="4" t="s">
        <v>333</v>
      </c>
      <c r="L196" t="s">
        <v>217</v>
      </c>
      <c r="M196" s="4" t="s">
        <v>199</v>
      </c>
    </row>
    <row r="197" spans="7:13">
      <c r="G197" s="1" t="s">
        <v>218</v>
      </c>
      <c r="H197" s="1" t="s">
        <v>48</v>
      </c>
      <c r="I197" s="3">
        <v>0.2</v>
      </c>
      <c r="J197" s="3">
        <v>45000</v>
      </c>
      <c r="K197" s="4" t="s">
        <v>334</v>
      </c>
      <c r="L197" t="s">
        <v>219</v>
      </c>
      <c r="M197" s="4" t="s">
        <v>220</v>
      </c>
    </row>
    <row r="198" spans="7:13">
      <c r="G198" s="1" t="s">
        <v>221</v>
      </c>
      <c r="H198" s="1" t="s">
        <v>50</v>
      </c>
      <c r="I198" s="3">
        <v>0.1</v>
      </c>
      <c r="J198" s="3">
        <v>46000</v>
      </c>
      <c r="K198" s="4" t="s">
        <v>335</v>
      </c>
      <c r="L198" t="s">
        <v>222</v>
      </c>
      <c r="M198" s="4" t="s">
        <v>220</v>
      </c>
    </row>
    <row r="199" spans="7:13">
      <c r="G199" s="1" t="s">
        <v>223</v>
      </c>
      <c r="H199" s="1" t="s">
        <v>50</v>
      </c>
      <c r="I199" s="3">
        <v>0.1</v>
      </c>
      <c r="J199" s="3">
        <v>47000</v>
      </c>
      <c r="K199" s="4" t="s">
        <v>336</v>
      </c>
      <c r="L199" t="s">
        <v>224</v>
      </c>
      <c r="M199" s="4" t="s">
        <v>220</v>
      </c>
    </row>
    <row r="200" spans="7:13">
      <c r="G200" s="1" t="s">
        <v>225</v>
      </c>
      <c r="H200" s="1" t="s">
        <v>50</v>
      </c>
      <c r="I200" s="3">
        <v>0.1</v>
      </c>
      <c r="J200" s="3">
        <v>48000</v>
      </c>
      <c r="K200" s="4" t="s">
        <v>337</v>
      </c>
      <c r="L200" t="s">
        <v>226</v>
      </c>
      <c r="M200" s="4" t="s">
        <v>220</v>
      </c>
    </row>
    <row r="201" spans="7:13">
      <c r="G201" s="1" t="s">
        <v>227</v>
      </c>
      <c r="H201" s="1" t="s">
        <v>50</v>
      </c>
      <c r="I201" s="3">
        <v>0.1</v>
      </c>
      <c r="J201" s="3">
        <v>49000</v>
      </c>
      <c r="K201" s="4" t="s">
        <v>338</v>
      </c>
      <c r="L201" t="s">
        <v>228</v>
      </c>
      <c r="M201" s="4" t="s">
        <v>220</v>
      </c>
    </row>
    <row r="202" spans="7:13">
      <c r="G202" s="1" t="s">
        <v>229</v>
      </c>
      <c r="H202" s="1" t="s">
        <v>50</v>
      </c>
      <c r="I202" s="3">
        <v>0.1</v>
      </c>
      <c r="J202" s="3">
        <v>50000</v>
      </c>
      <c r="K202" s="4" t="s">
        <v>339</v>
      </c>
      <c r="L202" t="s">
        <v>230</v>
      </c>
      <c r="M202" s="4" t="s">
        <v>220</v>
      </c>
    </row>
    <row r="203" spans="7:13">
      <c r="G203" s="1" t="s">
        <v>231</v>
      </c>
      <c r="H203" s="1" t="s">
        <v>50</v>
      </c>
      <c r="I203" s="3">
        <v>0.1</v>
      </c>
      <c r="J203" s="3">
        <v>51000</v>
      </c>
      <c r="K203" s="4" t="s">
        <v>340</v>
      </c>
      <c r="L203" t="s">
        <v>232</v>
      </c>
      <c r="M203" s="4" t="s">
        <v>220</v>
      </c>
    </row>
    <row r="204" spans="7:13">
      <c r="G204" s="1" t="s">
        <v>233</v>
      </c>
      <c r="H204" s="1" t="s">
        <v>50</v>
      </c>
      <c r="I204" s="3">
        <v>0.1</v>
      </c>
      <c r="J204" s="3">
        <v>52000</v>
      </c>
      <c r="K204" s="4" t="s">
        <v>341</v>
      </c>
      <c r="L204" t="s">
        <v>234</v>
      </c>
      <c r="M204" s="4" t="s">
        <v>220</v>
      </c>
    </row>
    <row r="205" spans="7:13">
      <c r="G205" s="1" t="s">
        <v>235</v>
      </c>
      <c r="H205" s="1" t="s">
        <v>50</v>
      </c>
      <c r="I205" s="3">
        <v>0.1</v>
      </c>
      <c r="J205" s="3">
        <v>53000</v>
      </c>
      <c r="K205" s="4" t="s">
        <v>342</v>
      </c>
      <c r="L205" t="s">
        <v>236</v>
      </c>
      <c r="M205" s="4" t="s">
        <v>220</v>
      </c>
    </row>
    <row r="206" spans="7:13">
      <c r="G206" s="1" t="s">
        <v>237</v>
      </c>
      <c r="H206" s="1" t="s">
        <v>50</v>
      </c>
      <c r="I206" s="3">
        <v>0.1</v>
      </c>
      <c r="J206" s="3">
        <v>54000</v>
      </c>
      <c r="K206" s="4" t="s">
        <v>343</v>
      </c>
      <c r="L206" t="s">
        <v>238</v>
      </c>
      <c r="M206" s="4" t="s">
        <v>220</v>
      </c>
    </row>
    <row r="207" spans="7:13">
      <c r="G207" s="1" t="s">
        <v>239</v>
      </c>
      <c r="H207" s="1" t="s">
        <v>50</v>
      </c>
      <c r="I207" s="3">
        <v>0.1</v>
      </c>
      <c r="J207" s="3">
        <v>55000</v>
      </c>
      <c r="K207" s="4" t="s">
        <v>344</v>
      </c>
      <c r="L207" t="s">
        <v>240</v>
      </c>
      <c r="M207" s="4"/>
    </row>
    <row r="209" spans="2:13">
      <c r="B209" s="1" t="s">
        <v>345</v>
      </c>
      <c r="C209" s="1" t="s">
        <v>346</v>
      </c>
      <c r="D209" s="1" t="s">
        <v>347</v>
      </c>
      <c r="E209" s="1" t="s">
        <v>348</v>
      </c>
      <c r="G209" s="1" t="s">
        <v>30</v>
      </c>
      <c r="H209" s="1" t="s">
        <v>31</v>
      </c>
      <c r="I209" s="1" t="s">
        <v>31</v>
      </c>
      <c r="J209" s="1" t="s">
        <v>30</v>
      </c>
      <c r="M209" s="4" t="s">
        <v>32</v>
      </c>
    </row>
    <row r="210" spans="2:13">
      <c r="G210" s="1" t="s">
        <v>31</v>
      </c>
      <c r="H210" s="1" t="s">
        <v>31</v>
      </c>
      <c r="I210" s="3">
        <v>1</v>
      </c>
      <c r="J210" s="3">
        <v>100</v>
      </c>
      <c r="K210" s="4" t="s">
        <v>349</v>
      </c>
      <c r="L210" t="s">
        <v>33</v>
      </c>
      <c r="M210" s="4" t="s">
        <v>32</v>
      </c>
    </row>
    <row r="211" spans="2:13">
      <c r="G211" s="1" t="s">
        <v>34</v>
      </c>
      <c r="H211" s="1" t="s">
        <v>31</v>
      </c>
      <c r="I211" s="3">
        <v>1</v>
      </c>
      <c r="J211" s="3">
        <v>200</v>
      </c>
      <c r="K211" s="4" t="s">
        <v>350</v>
      </c>
      <c r="L211" t="s">
        <v>35</v>
      </c>
      <c r="M211" s="4" t="s">
        <v>32</v>
      </c>
    </row>
    <row r="212" spans="2:13">
      <c r="G212" s="1" t="s">
        <v>36</v>
      </c>
      <c r="H212" s="1" t="s">
        <v>31</v>
      </c>
      <c r="I212" s="3">
        <v>1</v>
      </c>
      <c r="J212" s="3">
        <v>300</v>
      </c>
      <c r="K212" s="4" t="s">
        <v>351</v>
      </c>
      <c r="L212" t="s">
        <v>37</v>
      </c>
      <c r="M212" s="4" t="s">
        <v>32</v>
      </c>
    </row>
    <row r="213" spans="2:13">
      <c r="G213" s="1" t="s">
        <v>38</v>
      </c>
      <c r="H213" s="1" t="s">
        <v>31</v>
      </c>
      <c r="I213" s="3">
        <v>1</v>
      </c>
      <c r="J213" s="3">
        <v>400</v>
      </c>
      <c r="K213" s="4" t="s">
        <v>352</v>
      </c>
      <c r="L213" t="s">
        <v>39</v>
      </c>
      <c r="M213" s="4" t="s">
        <v>32</v>
      </c>
    </row>
    <row r="214" spans="2:13">
      <c r="G214" s="1" t="s">
        <v>40</v>
      </c>
      <c r="H214" s="1" t="s">
        <v>31</v>
      </c>
      <c r="I214" s="3">
        <v>1</v>
      </c>
      <c r="J214" s="3">
        <v>500</v>
      </c>
      <c r="K214" s="4" t="s">
        <v>353</v>
      </c>
      <c r="L214" t="s">
        <v>41</v>
      </c>
      <c r="M214" s="4" t="s">
        <v>32</v>
      </c>
    </row>
    <row r="215" spans="2:13">
      <c r="G215" s="1" t="s">
        <v>42</v>
      </c>
      <c r="H215" s="1" t="s">
        <v>31</v>
      </c>
      <c r="I215" s="3">
        <v>1</v>
      </c>
      <c r="J215" s="3">
        <v>600</v>
      </c>
      <c r="K215" s="4" t="s">
        <v>354</v>
      </c>
      <c r="L215" t="s">
        <v>43</v>
      </c>
      <c r="M215" s="4" t="s">
        <v>32</v>
      </c>
    </row>
    <row r="216" spans="2:13">
      <c r="G216" s="1" t="s">
        <v>44</v>
      </c>
      <c r="H216" s="1" t="s">
        <v>31</v>
      </c>
      <c r="I216" s="3">
        <v>1</v>
      </c>
      <c r="J216" s="3">
        <v>700</v>
      </c>
      <c r="K216" s="4" t="s">
        <v>355</v>
      </c>
      <c r="L216" t="s">
        <v>45</v>
      </c>
      <c r="M216" s="4" t="s">
        <v>32</v>
      </c>
    </row>
    <row r="217" spans="2:13">
      <c r="G217" s="1" t="s">
        <v>46</v>
      </c>
      <c r="H217" s="1" t="s">
        <v>31</v>
      </c>
      <c r="I217" s="3">
        <v>1</v>
      </c>
      <c r="J217" s="3">
        <v>800</v>
      </c>
      <c r="K217" s="4" t="s">
        <v>356</v>
      </c>
      <c r="L217" t="s">
        <v>47</v>
      </c>
      <c r="M217" s="4" t="s">
        <v>32</v>
      </c>
    </row>
    <row r="218" spans="2:13">
      <c r="G218" s="1" t="s">
        <v>48</v>
      </c>
      <c r="H218" s="1" t="s">
        <v>31</v>
      </c>
      <c r="I218" s="3">
        <v>1</v>
      </c>
      <c r="J218" s="3">
        <v>900</v>
      </c>
      <c r="K218" s="4" t="s">
        <v>357</v>
      </c>
      <c r="L218" t="s">
        <v>49</v>
      </c>
      <c r="M218" s="4" t="s">
        <v>32</v>
      </c>
    </row>
    <row r="219" spans="2:13">
      <c r="G219" s="1" t="s">
        <v>50</v>
      </c>
      <c r="H219" s="1" t="s">
        <v>31</v>
      </c>
      <c r="I219" s="3">
        <v>1</v>
      </c>
      <c r="J219" s="3">
        <v>1000</v>
      </c>
      <c r="K219" s="4" t="s">
        <v>358</v>
      </c>
      <c r="L219" t="s">
        <v>51</v>
      </c>
      <c r="M219" s="4" t="s">
        <v>52</v>
      </c>
    </row>
    <row r="220" spans="2:13">
      <c r="G220" s="1" t="s">
        <v>53</v>
      </c>
      <c r="H220" s="1" t="s">
        <v>34</v>
      </c>
      <c r="I220" s="3">
        <v>0.9</v>
      </c>
      <c r="J220" s="3">
        <v>1200</v>
      </c>
      <c r="K220" s="4" t="s">
        <v>359</v>
      </c>
      <c r="L220" t="s">
        <v>54</v>
      </c>
      <c r="M220" s="4" t="s">
        <v>52</v>
      </c>
    </row>
    <row r="221" spans="2:13">
      <c r="G221" s="1" t="s">
        <v>55</v>
      </c>
      <c r="H221" s="1" t="s">
        <v>34</v>
      </c>
      <c r="I221" s="3">
        <v>0.9</v>
      </c>
      <c r="J221" s="3">
        <v>1400</v>
      </c>
      <c r="K221" s="4" t="s">
        <v>360</v>
      </c>
      <c r="L221" t="s">
        <v>56</v>
      </c>
      <c r="M221" s="4" t="s">
        <v>52</v>
      </c>
    </row>
    <row r="222" spans="2:13">
      <c r="G222" s="1" t="s">
        <v>57</v>
      </c>
      <c r="H222" s="1" t="s">
        <v>34</v>
      </c>
      <c r="I222" s="3">
        <v>0.9</v>
      </c>
      <c r="J222" s="3">
        <v>1600</v>
      </c>
      <c r="K222" s="4" t="s">
        <v>361</v>
      </c>
      <c r="L222" t="s">
        <v>58</v>
      </c>
      <c r="M222" s="4" t="s">
        <v>52</v>
      </c>
    </row>
    <row r="223" spans="2:13">
      <c r="G223" s="1" t="s">
        <v>59</v>
      </c>
      <c r="H223" s="1" t="s">
        <v>34</v>
      </c>
      <c r="I223" s="3">
        <v>0.9</v>
      </c>
      <c r="J223" s="3">
        <v>1800</v>
      </c>
      <c r="K223" s="4" t="s">
        <v>362</v>
      </c>
      <c r="L223" t="s">
        <v>60</v>
      </c>
      <c r="M223" s="4" t="s">
        <v>52</v>
      </c>
    </row>
    <row r="224" spans="2:13">
      <c r="G224" s="1" t="s">
        <v>61</v>
      </c>
      <c r="H224" s="1" t="s">
        <v>34</v>
      </c>
      <c r="I224" s="3">
        <v>0.9</v>
      </c>
      <c r="J224" s="3">
        <v>2000</v>
      </c>
      <c r="K224" s="4" t="s">
        <v>363</v>
      </c>
      <c r="L224" t="s">
        <v>62</v>
      </c>
      <c r="M224" s="4" t="s">
        <v>52</v>
      </c>
    </row>
    <row r="225" spans="7:13">
      <c r="G225" s="1" t="s">
        <v>63</v>
      </c>
      <c r="H225" s="1" t="s">
        <v>34</v>
      </c>
      <c r="I225" s="3">
        <v>0.9</v>
      </c>
      <c r="J225" s="3">
        <v>2200</v>
      </c>
      <c r="K225" s="4" t="s">
        <v>364</v>
      </c>
      <c r="L225" t="s">
        <v>64</v>
      </c>
      <c r="M225" s="4" t="s">
        <v>52</v>
      </c>
    </row>
    <row r="226" spans="7:13">
      <c r="G226" s="1" t="s">
        <v>65</v>
      </c>
      <c r="H226" s="1" t="s">
        <v>34</v>
      </c>
      <c r="I226" s="3">
        <v>0.9</v>
      </c>
      <c r="J226" s="3">
        <v>2400</v>
      </c>
      <c r="K226" s="4" t="s">
        <v>365</v>
      </c>
      <c r="L226" t="s">
        <v>66</v>
      </c>
      <c r="M226" s="4" t="s">
        <v>52</v>
      </c>
    </row>
    <row r="227" spans="7:13">
      <c r="G227" s="1" t="s">
        <v>67</v>
      </c>
      <c r="H227" s="1" t="s">
        <v>34</v>
      </c>
      <c r="I227" s="3">
        <v>0.9</v>
      </c>
      <c r="J227" s="3">
        <v>2600</v>
      </c>
      <c r="K227" s="4" t="s">
        <v>366</v>
      </c>
      <c r="L227" t="s">
        <v>68</v>
      </c>
      <c r="M227" s="4" t="s">
        <v>52</v>
      </c>
    </row>
    <row r="228" spans="7:13">
      <c r="G228" s="1" t="s">
        <v>69</v>
      </c>
      <c r="H228" s="1" t="s">
        <v>34</v>
      </c>
      <c r="I228" s="3">
        <v>0.9</v>
      </c>
      <c r="J228" s="3">
        <v>2800</v>
      </c>
      <c r="K228" s="4" t="s">
        <v>367</v>
      </c>
      <c r="L228" t="s">
        <v>70</v>
      </c>
      <c r="M228" s="4" t="s">
        <v>52</v>
      </c>
    </row>
    <row r="229" spans="7:13">
      <c r="G229" s="1" t="s">
        <v>71</v>
      </c>
      <c r="H229" s="1" t="s">
        <v>34</v>
      </c>
      <c r="I229" s="3">
        <v>0.9</v>
      </c>
      <c r="J229" s="3">
        <v>3000</v>
      </c>
      <c r="K229" s="4" t="s">
        <v>368</v>
      </c>
      <c r="L229" t="s">
        <v>72</v>
      </c>
      <c r="M229" s="4" t="s">
        <v>73</v>
      </c>
    </row>
    <row r="230" spans="7:13">
      <c r="G230" s="1" t="s">
        <v>74</v>
      </c>
      <c r="H230" s="1" t="s">
        <v>36</v>
      </c>
      <c r="I230" s="3">
        <v>0.8</v>
      </c>
      <c r="J230" s="3">
        <v>3300</v>
      </c>
      <c r="K230" s="4" t="s">
        <v>369</v>
      </c>
      <c r="L230" t="s">
        <v>75</v>
      </c>
      <c r="M230" s="4" t="s">
        <v>73</v>
      </c>
    </row>
    <row r="231" spans="7:13">
      <c r="G231" s="1" t="s">
        <v>76</v>
      </c>
      <c r="H231" s="1" t="s">
        <v>36</v>
      </c>
      <c r="I231" s="3">
        <v>0.8</v>
      </c>
      <c r="J231" s="3">
        <v>3600</v>
      </c>
      <c r="K231" s="4" t="s">
        <v>370</v>
      </c>
      <c r="L231" t="s">
        <v>77</v>
      </c>
      <c r="M231" s="4" t="s">
        <v>73</v>
      </c>
    </row>
    <row r="232" spans="7:13">
      <c r="G232" s="1" t="s">
        <v>78</v>
      </c>
      <c r="H232" s="1" t="s">
        <v>36</v>
      </c>
      <c r="I232" s="3">
        <v>0.8</v>
      </c>
      <c r="J232" s="3">
        <v>3900</v>
      </c>
      <c r="K232" s="4" t="s">
        <v>371</v>
      </c>
      <c r="L232" t="s">
        <v>79</v>
      </c>
      <c r="M232" s="4" t="s">
        <v>73</v>
      </c>
    </row>
    <row r="233" spans="7:13">
      <c r="G233" s="1" t="s">
        <v>80</v>
      </c>
      <c r="H233" s="1" t="s">
        <v>36</v>
      </c>
      <c r="I233" s="3">
        <v>0.8</v>
      </c>
      <c r="J233" s="3">
        <v>4200</v>
      </c>
      <c r="K233" s="4" t="s">
        <v>372</v>
      </c>
      <c r="L233" t="s">
        <v>81</v>
      </c>
      <c r="M233" s="4" t="s">
        <v>73</v>
      </c>
    </row>
    <row r="234" spans="7:13">
      <c r="G234" s="1" t="s">
        <v>82</v>
      </c>
      <c r="H234" s="1" t="s">
        <v>36</v>
      </c>
      <c r="I234" s="3">
        <v>0.8</v>
      </c>
      <c r="J234" s="3">
        <v>4500</v>
      </c>
      <c r="K234" s="4" t="s">
        <v>373</v>
      </c>
      <c r="L234" t="s">
        <v>83</v>
      </c>
      <c r="M234" s="4" t="s">
        <v>73</v>
      </c>
    </row>
    <row r="235" spans="7:13">
      <c r="G235" s="1" t="s">
        <v>84</v>
      </c>
      <c r="H235" s="1" t="s">
        <v>36</v>
      </c>
      <c r="I235" s="3">
        <v>0.8</v>
      </c>
      <c r="J235" s="3">
        <v>4800</v>
      </c>
      <c r="K235" s="4" t="s">
        <v>374</v>
      </c>
      <c r="L235" t="s">
        <v>85</v>
      </c>
      <c r="M235" s="4" t="s">
        <v>73</v>
      </c>
    </row>
    <row r="236" spans="7:13">
      <c r="G236" s="1" t="s">
        <v>86</v>
      </c>
      <c r="H236" s="1" t="s">
        <v>36</v>
      </c>
      <c r="I236" s="3">
        <v>0.8</v>
      </c>
      <c r="J236" s="3">
        <v>5100</v>
      </c>
      <c r="K236" s="4" t="s">
        <v>375</v>
      </c>
      <c r="L236" t="s">
        <v>87</v>
      </c>
      <c r="M236" s="4" t="s">
        <v>73</v>
      </c>
    </row>
    <row r="237" spans="7:13">
      <c r="G237" s="1" t="s">
        <v>88</v>
      </c>
      <c r="H237" s="1" t="s">
        <v>36</v>
      </c>
      <c r="I237" s="3">
        <v>0.8</v>
      </c>
      <c r="J237" s="3">
        <v>5400</v>
      </c>
      <c r="K237" s="4" t="s">
        <v>376</v>
      </c>
      <c r="L237" t="s">
        <v>89</v>
      </c>
      <c r="M237" s="4" t="s">
        <v>73</v>
      </c>
    </row>
    <row r="238" spans="7:13">
      <c r="G238" s="1" t="s">
        <v>90</v>
      </c>
      <c r="H238" s="1" t="s">
        <v>36</v>
      </c>
      <c r="I238" s="3">
        <v>0.8</v>
      </c>
      <c r="J238" s="3">
        <v>5700</v>
      </c>
      <c r="K238" s="4" t="s">
        <v>377</v>
      </c>
      <c r="L238" t="s">
        <v>91</v>
      </c>
      <c r="M238" s="4" t="s">
        <v>73</v>
      </c>
    </row>
    <row r="239" spans="7:13">
      <c r="G239" s="1" t="s">
        <v>92</v>
      </c>
      <c r="H239" s="1" t="s">
        <v>36</v>
      </c>
      <c r="I239" s="3">
        <v>0.8</v>
      </c>
      <c r="J239" s="3">
        <v>6000</v>
      </c>
      <c r="K239" s="4" t="s">
        <v>378</v>
      </c>
      <c r="L239" t="s">
        <v>93</v>
      </c>
      <c r="M239" s="4" t="s">
        <v>94</v>
      </c>
    </row>
    <row r="240" spans="7:13">
      <c r="G240" s="1" t="s">
        <v>95</v>
      </c>
      <c r="H240" s="1" t="s">
        <v>38</v>
      </c>
      <c r="I240" s="3">
        <v>0.7</v>
      </c>
      <c r="J240" s="3">
        <v>6400</v>
      </c>
      <c r="K240" s="4" t="s">
        <v>379</v>
      </c>
      <c r="L240" t="s">
        <v>96</v>
      </c>
      <c r="M240" s="4" t="s">
        <v>94</v>
      </c>
    </row>
    <row r="241" spans="7:13">
      <c r="G241" s="1" t="s">
        <v>97</v>
      </c>
      <c r="H241" s="1" t="s">
        <v>38</v>
      </c>
      <c r="I241" s="3">
        <v>0.7</v>
      </c>
      <c r="J241" s="3">
        <v>6800</v>
      </c>
      <c r="K241" s="4" t="s">
        <v>380</v>
      </c>
      <c r="L241" t="s">
        <v>98</v>
      </c>
      <c r="M241" s="4" t="s">
        <v>94</v>
      </c>
    </row>
    <row r="242" spans="7:13">
      <c r="G242" s="1" t="s">
        <v>99</v>
      </c>
      <c r="H242" s="1" t="s">
        <v>38</v>
      </c>
      <c r="I242" s="3">
        <v>0.7</v>
      </c>
      <c r="J242" s="3">
        <v>7200</v>
      </c>
      <c r="K242" s="4" t="s">
        <v>381</v>
      </c>
      <c r="L242" t="s">
        <v>100</v>
      </c>
      <c r="M242" s="4" t="s">
        <v>94</v>
      </c>
    </row>
    <row r="243" spans="7:13">
      <c r="G243" s="1" t="s">
        <v>101</v>
      </c>
      <c r="H243" s="1" t="s">
        <v>38</v>
      </c>
      <c r="I243" s="3">
        <v>0.7</v>
      </c>
      <c r="J243" s="3">
        <v>7600</v>
      </c>
      <c r="K243" s="4" t="s">
        <v>382</v>
      </c>
      <c r="L243" t="s">
        <v>102</v>
      </c>
      <c r="M243" s="4" t="s">
        <v>94</v>
      </c>
    </row>
    <row r="244" spans="7:13">
      <c r="G244" s="1" t="s">
        <v>103</v>
      </c>
      <c r="H244" s="1" t="s">
        <v>38</v>
      </c>
      <c r="I244" s="3">
        <v>0.7</v>
      </c>
      <c r="J244" s="3">
        <v>8000</v>
      </c>
      <c r="K244" s="4" t="s">
        <v>383</v>
      </c>
      <c r="L244" t="s">
        <v>104</v>
      </c>
      <c r="M244" s="4" t="s">
        <v>94</v>
      </c>
    </row>
    <row r="245" spans="7:13">
      <c r="G245" s="1" t="s">
        <v>105</v>
      </c>
      <c r="H245" s="1" t="s">
        <v>38</v>
      </c>
      <c r="I245" s="3">
        <v>0.7</v>
      </c>
      <c r="J245" s="3">
        <v>8400</v>
      </c>
      <c r="K245" s="4" t="s">
        <v>384</v>
      </c>
      <c r="L245" t="s">
        <v>106</v>
      </c>
      <c r="M245" s="4" t="s">
        <v>94</v>
      </c>
    </row>
    <row r="246" spans="7:13">
      <c r="G246" s="1" t="s">
        <v>107</v>
      </c>
      <c r="H246" s="1" t="s">
        <v>38</v>
      </c>
      <c r="I246" s="3">
        <v>0.7</v>
      </c>
      <c r="J246" s="3">
        <v>8800</v>
      </c>
      <c r="K246" s="4" t="s">
        <v>385</v>
      </c>
      <c r="L246" t="s">
        <v>108</v>
      </c>
      <c r="M246" s="4" t="s">
        <v>94</v>
      </c>
    </row>
    <row r="247" spans="7:13">
      <c r="G247" s="1" t="s">
        <v>109</v>
      </c>
      <c r="H247" s="1" t="s">
        <v>38</v>
      </c>
      <c r="I247" s="3">
        <v>0.7</v>
      </c>
      <c r="J247" s="3">
        <v>9200</v>
      </c>
      <c r="K247" s="4" t="s">
        <v>386</v>
      </c>
      <c r="L247" t="s">
        <v>110</v>
      </c>
      <c r="M247" s="4" t="s">
        <v>94</v>
      </c>
    </row>
    <row r="248" spans="7:13">
      <c r="G248" s="1" t="s">
        <v>111</v>
      </c>
      <c r="H248" s="1" t="s">
        <v>38</v>
      </c>
      <c r="I248" s="3">
        <v>0.7</v>
      </c>
      <c r="J248" s="3">
        <v>9600</v>
      </c>
      <c r="K248" s="4" t="s">
        <v>387</v>
      </c>
      <c r="L248" t="s">
        <v>112</v>
      </c>
      <c r="M248" s="4" t="s">
        <v>94</v>
      </c>
    </row>
    <row r="249" spans="7:13">
      <c r="G249" s="1" t="s">
        <v>113</v>
      </c>
      <c r="H249" s="1" t="s">
        <v>38</v>
      </c>
      <c r="I249" s="3">
        <v>0.7</v>
      </c>
      <c r="J249" s="3">
        <v>10000</v>
      </c>
      <c r="K249" s="4" t="s">
        <v>388</v>
      </c>
      <c r="L249" t="s">
        <v>114</v>
      </c>
      <c r="M249" s="4" t="s">
        <v>115</v>
      </c>
    </row>
    <row r="250" spans="7:13">
      <c r="G250" s="1" t="s">
        <v>116</v>
      </c>
      <c r="H250" s="1" t="s">
        <v>40</v>
      </c>
      <c r="I250" s="3">
        <v>0.6</v>
      </c>
      <c r="J250" s="3">
        <v>10500</v>
      </c>
      <c r="K250" s="4" t="s">
        <v>389</v>
      </c>
      <c r="L250" t="s">
        <v>117</v>
      </c>
      <c r="M250" s="4" t="s">
        <v>115</v>
      </c>
    </row>
    <row r="251" spans="7:13">
      <c r="G251" s="1" t="s">
        <v>118</v>
      </c>
      <c r="H251" s="1" t="s">
        <v>40</v>
      </c>
      <c r="I251" s="3">
        <v>0.6</v>
      </c>
      <c r="J251" s="3">
        <v>11000</v>
      </c>
      <c r="K251" s="4" t="s">
        <v>390</v>
      </c>
      <c r="L251" t="s">
        <v>119</v>
      </c>
      <c r="M251" s="4" t="s">
        <v>115</v>
      </c>
    </row>
    <row r="252" spans="7:13">
      <c r="G252" s="1" t="s">
        <v>120</v>
      </c>
      <c r="H252" s="1" t="s">
        <v>40</v>
      </c>
      <c r="I252" s="3">
        <v>0.6</v>
      </c>
      <c r="J252" s="3">
        <v>11500</v>
      </c>
      <c r="K252" s="4" t="s">
        <v>391</v>
      </c>
      <c r="L252" t="s">
        <v>121</v>
      </c>
      <c r="M252" s="4" t="s">
        <v>115</v>
      </c>
    </row>
    <row r="253" spans="7:13">
      <c r="G253" s="1" t="s">
        <v>122</v>
      </c>
      <c r="H253" s="1" t="s">
        <v>40</v>
      </c>
      <c r="I253" s="3">
        <v>0.6</v>
      </c>
      <c r="J253" s="3">
        <v>12000</v>
      </c>
      <c r="K253" s="4" t="s">
        <v>392</v>
      </c>
      <c r="L253" t="s">
        <v>123</v>
      </c>
      <c r="M253" s="4" t="s">
        <v>115</v>
      </c>
    </row>
    <row r="254" spans="7:13">
      <c r="G254" s="1" t="s">
        <v>124</v>
      </c>
      <c r="H254" s="1" t="s">
        <v>40</v>
      </c>
      <c r="I254" s="3">
        <v>0.6</v>
      </c>
      <c r="J254" s="3">
        <v>12500</v>
      </c>
      <c r="K254" s="4" t="s">
        <v>393</v>
      </c>
      <c r="L254" t="s">
        <v>125</v>
      </c>
      <c r="M254" s="4" t="s">
        <v>115</v>
      </c>
    </row>
    <row r="255" spans="7:13">
      <c r="G255" s="1" t="s">
        <v>126</v>
      </c>
      <c r="H255" s="1" t="s">
        <v>40</v>
      </c>
      <c r="I255" s="3">
        <v>0.6</v>
      </c>
      <c r="J255" s="3">
        <v>13000</v>
      </c>
      <c r="K255" s="4" t="s">
        <v>394</v>
      </c>
      <c r="L255" t="s">
        <v>127</v>
      </c>
      <c r="M255" s="4" t="s">
        <v>115</v>
      </c>
    </row>
    <row r="256" spans="7:13">
      <c r="G256" s="1" t="s">
        <v>128</v>
      </c>
      <c r="H256" s="1" t="s">
        <v>40</v>
      </c>
      <c r="I256" s="3">
        <v>0.6</v>
      </c>
      <c r="J256" s="3">
        <v>13500</v>
      </c>
      <c r="K256" s="4" t="s">
        <v>395</v>
      </c>
      <c r="L256" t="s">
        <v>129</v>
      </c>
      <c r="M256" s="4" t="s">
        <v>115</v>
      </c>
    </row>
    <row r="257" spans="7:13">
      <c r="G257" s="1" t="s">
        <v>130</v>
      </c>
      <c r="H257" s="1" t="s">
        <v>40</v>
      </c>
      <c r="I257" s="3">
        <v>0.6</v>
      </c>
      <c r="J257" s="3">
        <v>14000</v>
      </c>
      <c r="K257" s="4" t="s">
        <v>396</v>
      </c>
      <c r="L257" t="s">
        <v>131</v>
      </c>
      <c r="M257" s="4" t="s">
        <v>115</v>
      </c>
    </row>
    <row r="258" spans="7:13">
      <c r="G258" s="1" t="s">
        <v>132</v>
      </c>
      <c r="H258" s="1" t="s">
        <v>40</v>
      </c>
      <c r="I258" s="3">
        <v>0.6</v>
      </c>
      <c r="J258" s="3">
        <v>14500</v>
      </c>
      <c r="K258" s="4" t="s">
        <v>397</v>
      </c>
      <c r="L258" t="s">
        <v>133</v>
      </c>
      <c r="M258" s="4" t="s">
        <v>115</v>
      </c>
    </row>
    <row r="259" spans="7:13">
      <c r="G259" s="1" t="s">
        <v>134</v>
      </c>
      <c r="H259" s="1" t="s">
        <v>40</v>
      </c>
      <c r="I259" s="3">
        <v>0.6</v>
      </c>
      <c r="J259" s="3">
        <v>15000</v>
      </c>
      <c r="K259" s="4" t="s">
        <v>398</v>
      </c>
      <c r="L259" t="s">
        <v>135</v>
      </c>
      <c r="M259" s="4" t="s">
        <v>136</v>
      </c>
    </row>
    <row r="260" spans="7:13">
      <c r="G260" s="1" t="s">
        <v>137</v>
      </c>
      <c r="H260" s="1" t="s">
        <v>42</v>
      </c>
      <c r="I260" s="3">
        <v>0.5</v>
      </c>
      <c r="J260" s="3">
        <v>15600</v>
      </c>
      <c r="K260" s="4" t="s">
        <v>399</v>
      </c>
      <c r="L260" t="s">
        <v>138</v>
      </c>
      <c r="M260" s="4" t="s">
        <v>136</v>
      </c>
    </row>
    <row r="261" spans="7:13">
      <c r="G261" s="1" t="s">
        <v>139</v>
      </c>
      <c r="H261" s="1" t="s">
        <v>42</v>
      </c>
      <c r="I261" s="3">
        <v>0.5</v>
      </c>
      <c r="J261" s="3">
        <v>16200</v>
      </c>
      <c r="K261" s="4" t="s">
        <v>400</v>
      </c>
      <c r="L261" t="s">
        <v>140</v>
      </c>
      <c r="M261" s="4" t="s">
        <v>136</v>
      </c>
    </row>
    <row r="262" spans="7:13">
      <c r="G262" s="1" t="s">
        <v>141</v>
      </c>
      <c r="H262" s="1" t="s">
        <v>42</v>
      </c>
      <c r="I262" s="3">
        <v>0.5</v>
      </c>
      <c r="J262" s="3">
        <v>16800</v>
      </c>
      <c r="K262" s="4" t="s">
        <v>401</v>
      </c>
      <c r="L262" t="s">
        <v>142</v>
      </c>
      <c r="M262" s="4" t="s">
        <v>136</v>
      </c>
    </row>
    <row r="263" spans="7:13">
      <c r="G263" s="1" t="s">
        <v>143</v>
      </c>
      <c r="H263" s="1" t="s">
        <v>42</v>
      </c>
      <c r="I263" s="3">
        <v>0.5</v>
      </c>
      <c r="J263" s="3">
        <v>17400</v>
      </c>
      <c r="K263" s="4" t="s">
        <v>402</v>
      </c>
      <c r="L263" t="s">
        <v>144</v>
      </c>
      <c r="M263" s="4" t="s">
        <v>136</v>
      </c>
    </row>
    <row r="264" spans="7:13">
      <c r="G264" s="1" t="s">
        <v>145</v>
      </c>
      <c r="H264" s="1" t="s">
        <v>42</v>
      </c>
      <c r="I264" s="3">
        <v>0.5</v>
      </c>
      <c r="J264" s="3">
        <v>18000</v>
      </c>
      <c r="K264" s="4" t="s">
        <v>403</v>
      </c>
      <c r="L264" t="s">
        <v>146</v>
      </c>
      <c r="M264" s="4" t="s">
        <v>136</v>
      </c>
    </row>
    <row r="265" spans="7:13">
      <c r="G265" s="1" t="s">
        <v>147</v>
      </c>
      <c r="H265" s="1" t="s">
        <v>42</v>
      </c>
      <c r="I265" s="3">
        <v>0.5</v>
      </c>
      <c r="J265" s="3">
        <v>18600</v>
      </c>
      <c r="K265" s="4" t="s">
        <v>404</v>
      </c>
      <c r="L265" t="s">
        <v>148</v>
      </c>
      <c r="M265" s="4" t="s">
        <v>136</v>
      </c>
    </row>
    <row r="266" spans="7:13">
      <c r="G266" s="1" t="s">
        <v>149</v>
      </c>
      <c r="H266" s="1" t="s">
        <v>42</v>
      </c>
      <c r="I266" s="3">
        <v>0.5</v>
      </c>
      <c r="J266" s="3">
        <v>19200</v>
      </c>
      <c r="K266" s="4" t="s">
        <v>405</v>
      </c>
      <c r="L266" t="s">
        <v>150</v>
      </c>
      <c r="M266" s="4" t="s">
        <v>136</v>
      </c>
    </row>
    <row r="267" spans="7:13">
      <c r="G267" s="1" t="s">
        <v>151</v>
      </c>
      <c r="H267" s="1" t="s">
        <v>42</v>
      </c>
      <c r="I267" s="3">
        <v>0.5</v>
      </c>
      <c r="J267" s="3">
        <v>19800</v>
      </c>
      <c r="K267" s="4" t="s">
        <v>406</v>
      </c>
      <c r="L267" t="s">
        <v>152</v>
      </c>
      <c r="M267" s="4" t="s">
        <v>136</v>
      </c>
    </row>
    <row r="268" spans="7:13">
      <c r="G268" s="1" t="s">
        <v>153</v>
      </c>
      <c r="H268" s="1" t="s">
        <v>42</v>
      </c>
      <c r="I268" s="3">
        <v>0.5</v>
      </c>
      <c r="J268" s="3">
        <v>20400</v>
      </c>
      <c r="K268" s="4" t="s">
        <v>407</v>
      </c>
      <c r="L268" t="s">
        <v>154</v>
      </c>
      <c r="M268" s="4" t="s">
        <v>136</v>
      </c>
    </row>
    <row r="269" spans="7:13">
      <c r="G269" s="1" t="s">
        <v>155</v>
      </c>
      <c r="H269" s="1" t="s">
        <v>42</v>
      </c>
      <c r="I269" s="3">
        <v>0.5</v>
      </c>
      <c r="J269" s="3">
        <v>21000</v>
      </c>
      <c r="K269" s="4" t="s">
        <v>408</v>
      </c>
      <c r="L269" t="s">
        <v>156</v>
      </c>
      <c r="M269" s="4" t="s">
        <v>157</v>
      </c>
    </row>
    <row r="270" spans="7:13">
      <c r="G270" s="1" t="s">
        <v>158</v>
      </c>
      <c r="H270" s="1" t="s">
        <v>44</v>
      </c>
      <c r="I270" s="3">
        <v>0.4</v>
      </c>
      <c r="J270" s="3">
        <v>21700</v>
      </c>
      <c r="K270" s="4" t="s">
        <v>409</v>
      </c>
      <c r="L270" t="s">
        <v>159</v>
      </c>
      <c r="M270" s="4" t="s">
        <v>157</v>
      </c>
    </row>
    <row r="271" spans="7:13">
      <c r="G271" s="1" t="s">
        <v>160</v>
      </c>
      <c r="H271" s="1" t="s">
        <v>44</v>
      </c>
      <c r="I271" s="3">
        <v>0.4</v>
      </c>
      <c r="J271" s="3">
        <v>22400</v>
      </c>
      <c r="K271" s="4" t="s">
        <v>410</v>
      </c>
      <c r="L271" t="s">
        <v>161</v>
      </c>
      <c r="M271" s="4" t="s">
        <v>157</v>
      </c>
    </row>
    <row r="272" spans="7:13">
      <c r="G272" s="1" t="s">
        <v>162</v>
      </c>
      <c r="H272" s="1" t="s">
        <v>44</v>
      </c>
      <c r="I272" s="3">
        <v>0.4</v>
      </c>
      <c r="J272" s="3">
        <v>23100</v>
      </c>
      <c r="K272" s="4" t="s">
        <v>411</v>
      </c>
      <c r="L272" t="s">
        <v>163</v>
      </c>
      <c r="M272" s="4" t="s">
        <v>157</v>
      </c>
    </row>
    <row r="273" spans="7:13">
      <c r="G273" s="1" t="s">
        <v>164</v>
      </c>
      <c r="H273" s="1" t="s">
        <v>44</v>
      </c>
      <c r="I273" s="3">
        <v>0.4</v>
      </c>
      <c r="J273" s="3">
        <v>23800</v>
      </c>
      <c r="K273" s="4" t="s">
        <v>412</v>
      </c>
      <c r="L273" t="s">
        <v>165</v>
      </c>
      <c r="M273" s="4" t="s">
        <v>157</v>
      </c>
    </row>
    <row r="274" spans="7:13">
      <c r="G274" s="1" t="s">
        <v>166</v>
      </c>
      <c r="H274" s="1" t="s">
        <v>44</v>
      </c>
      <c r="I274" s="3">
        <v>0.4</v>
      </c>
      <c r="J274" s="3">
        <v>24500</v>
      </c>
      <c r="K274" s="4" t="s">
        <v>413</v>
      </c>
      <c r="L274" t="s">
        <v>167</v>
      </c>
      <c r="M274" s="4" t="s">
        <v>157</v>
      </c>
    </row>
    <row r="275" spans="7:13">
      <c r="G275" s="1" t="s">
        <v>168</v>
      </c>
      <c r="H275" s="1" t="s">
        <v>44</v>
      </c>
      <c r="I275" s="3">
        <v>0.4</v>
      </c>
      <c r="J275" s="3">
        <v>25200</v>
      </c>
      <c r="K275" s="4" t="s">
        <v>414</v>
      </c>
      <c r="L275" t="s">
        <v>169</v>
      </c>
      <c r="M275" s="4" t="s">
        <v>157</v>
      </c>
    </row>
    <row r="276" spans="7:13">
      <c r="G276" s="1" t="s">
        <v>170</v>
      </c>
      <c r="H276" s="1" t="s">
        <v>44</v>
      </c>
      <c r="I276" s="3">
        <v>0.4</v>
      </c>
      <c r="J276" s="3">
        <v>25900</v>
      </c>
      <c r="K276" s="4" t="s">
        <v>415</v>
      </c>
      <c r="L276" t="s">
        <v>171</v>
      </c>
      <c r="M276" s="4" t="s">
        <v>157</v>
      </c>
    </row>
    <row r="277" spans="7:13">
      <c r="G277" s="1" t="s">
        <v>172</v>
      </c>
      <c r="H277" s="1" t="s">
        <v>44</v>
      </c>
      <c r="I277" s="3">
        <v>0.4</v>
      </c>
      <c r="J277" s="3">
        <v>26600</v>
      </c>
      <c r="K277" s="4" t="s">
        <v>416</v>
      </c>
      <c r="L277" t="s">
        <v>173</v>
      </c>
      <c r="M277" s="4" t="s">
        <v>157</v>
      </c>
    </row>
    <row r="278" spans="7:13">
      <c r="G278" s="1" t="s">
        <v>174</v>
      </c>
      <c r="H278" s="1" t="s">
        <v>44</v>
      </c>
      <c r="I278" s="3">
        <v>0.4</v>
      </c>
      <c r="J278" s="3">
        <v>27300</v>
      </c>
      <c r="K278" s="4" t="s">
        <v>417</v>
      </c>
      <c r="L278" t="s">
        <v>175</v>
      </c>
      <c r="M278" s="4" t="s">
        <v>157</v>
      </c>
    </row>
    <row r="279" spans="7:13">
      <c r="G279" s="1" t="s">
        <v>176</v>
      </c>
      <c r="H279" s="1" t="s">
        <v>44</v>
      </c>
      <c r="I279" s="3">
        <v>0.4</v>
      </c>
      <c r="J279" s="3">
        <v>28000</v>
      </c>
      <c r="K279" s="4" t="s">
        <v>418</v>
      </c>
      <c r="L279" t="s">
        <v>177</v>
      </c>
      <c r="M279" s="4" t="s">
        <v>178</v>
      </c>
    </row>
    <row r="280" spans="7:13">
      <c r="G280" s="1" t="s">
        <v>179</v>
      </c>
      <c r="H280" s="1" t="s">
        <v>46</v>
      </c>
      <c r="I280" s="3">
        <v>0.3</v>
      </c>
      <c r="J280" s="3">
        <v>28800</v>
      </c>
      <c r="K280" s="4" t="s">
        <v>419</v>
      </c>
      <c r="L280" t="s">
        <v>180</v>
      </c>
      <c r="M280" s="4" t="s">
        <v>178</v>
      </c>
    </row>
    <row r="281" spans="7:13">
      <c r="G281" s="1" t="s">
        <v>181</v>
      </c>
      <c r="H281" s="1" t="s">
        <v>46</v>
      </c>
      <c r="I281" s="3">
        <v>0.3</v>
      </c>
      <c r="J281" s="3">
        <v>29600</v>
      </c>
      <c r="K281" s="4" t="s">
        <v>420</v>
      </c>
      <c r="L281" t="s">
        <v>182</v>
      </c>
      <c r="M281" s="4" t="s">
        <v>178</v>
      </c>
    </row>
    <row r="282" spans="7:13">
      <c r="G282" s="1" t="s">
        <v>183</v>
      </c>
      <c r="H282" s="1" t="s">
        <v>46</v>
      </c>
      <c r="I282" s="3">
        <v>0.3</v>
      </c>
      <c r="J282" s="3">
        <v>30400</v>
      </c>
      <c r="K282" s="4" t="s">
        <v>421</v>
      </c>
      <c r="L282" t="s">
        <v>184</v>
      </c>
      <c r="M282" s="4" t="s">
        <v>178</v>
      </c>
    </row>
    <row r="283" spans="7:13">
      <c r="G283" s="1" t="s">
        <v>185</v>
      </c>
      <c r="H283" s="1" t="s">
        <v>46</v>
      </c>
      <c r="I283" s="3">
        <v>0.3</v>
      </c>
      <c r="J283" s="3">
        <v>31200</v>
      </c>
      <c r="K283" s="4" t="s">
        <v>422</v>
      </c>
      <c r="L283" t="s">
        <v>186</v>
      </c>
      <c r="M283" s="4" t="s">
        <v>178</v>
      </c>
    </row>
    <row r="284" spans="7:13">
      <c r="G284" s="1" t="s">
        <v>187</v>
      </c>
      <c r="H284" s="1" t="s">
        <v>46</v>
      </c>
      <c r="I284" s="3">
        <v>0.3</v>
      </c>
      <c r="J284" s="3">
        <v>32000</v>
      </c>
      <c r="K284" s="4" t="s">
        <v>423</v>
      </c>
      <c r="L284" t="s">
        <v>188</v>
      </c>
      <c r="M284" s="4" t="s">
        <v>178</v>
      </c>
    </row>
    <row r="285" spans="7:13">
      <c r="G285" s="1" t="s">
        <v>189</v>
      </c>
      <c r="H285" s="1" t="s">
        <v>46</v>
      </c>
      <c r="I285" s="3">
        <v>0.3</v>
      </c>
      <c r="J285" s="3">
        <v>32800</v>
      </c>
      <c r="K285" s="4" t="s">
        <v>424</v>
      </c>
      <c r="L285" t="s">
        <v>190</v>
      </c>
      <c r="M285" s="4" t="s">
        <v>178</v>
      </c>
    </row>
    <row r="286" spans="7:13">
      <c r="G286" s="1" t="s">
        <v>191</v>
      </c>
      <c r="H286" s="1" t="s">
        <v>46</v>
      </c>
      <c r="I286" s="3">
        <v>0.3</v>
      </c>
      <c r="J286" s="3">
        <v>33600</v>
      </c>
      <c r="K286" s="4" t="s">
        <v>425</v>
      </c>
      <c r="L286" t="s">
        <v>192</v>
      </c>
      <c r="M286" s="4" t="s">
        <v>178</v>
      </c>
    </row>
    <row r="287" spans="7:13">
      <c r="G287" s="1" t="s">
        <v>193</v>
      </c>
      <c r="H287" s="1" t="s">
        <v>46</v>
      </c>
      <c r="I287" s="3">
        <v>0.3</v>
      </c>
      <c r="J287" s="3">
        <v>34400</v>
      </c>
      <c r="K287" s="4" t="s">
        <v>426</v>
      </c>
      <c r="L287" t="s">
        <v>194</v>
      </c>
      <c r="M287" s="4" t="s">
        <v>178</v>
      </c>
    </row>
    <row r="288" spans="7:13">
      <c r="G288" s="1" t="s">
        <v>195</v>
      </c>
      <c r="H288" s="1" t="s">
        <v>46</v>
      </c>
      <c r="I288" s="3">
        <v>0.3</v>
      </c>
      <c r="J288" s="3">
        <v>35200</v>
      </c>
      <c r="K288" s="4" t="s">
        <v>427</v>
      </c>
      <c r="L288" t="s">
        <v>196</v>
      </c>
      <c r="M288" s="4" t="s">
        <v>178</v>
      </c>
    </row>
    <row r="289" spans="7:13">
      <c r="G289" s="1" t="s">
        <v>197</v>
      </c>
      <c r="H289" s="1" t="s">
        <v>46</v>
      </c>
      <c r="I289" s="3">
        <v>0.3</v>
      </c>
      <c r="J289" s="3">
        <v>36000</v>
      </c>
      <c r="K289" s="4" t="s">
        <v>428</v>
      </c>
      <c r="L289" t="s">
        <v>198</v>
      </c>
      <c r="M289" s="4" t="s">
        <v>199</v>
      </c>
    </row>
    <row r="290" spans="7:13">
      <c r="G290" s="1" t="s">
        <v>200</v>
      </c>
      <c r="H290" s="1" t="s">
        <v>48</v>
      </c>
      <c r="I290" s="3">
        <v>0.2</v>
      </c>
      <c r="J290" s="3">
        <v>36900</v>
      </c>
      <c r="K290" s="4" t="s">
        <v>429</v>
      </c>
      <c r="L290" t="s">
        <v>201</v>
      </c>
      <c r="M290" s="4" t="s">
        <v>199</v>
      </c>
    </row>
    <row r="291" spans="7:13">
      <c r="G291" s="1" t="s">
        <v>202</v>
      </c>
      <c r="H291" s="1" t="s">
        <v>48</v>
      </c>
      <c r="I291" s="3">
        <v>0.2</v>
      </c>
      <c r="J291" s="3">
        <v>37800</v>
      </c>
      <c r="K291" s="4" t="s">
        <v>430</v>
      </c>
      <c r="L291" t="s">
        <v>203</v>
      </c>
      <c r="M291" s="4" t="s">
        <v>199</v>
      </c>
    </row>
    <row r="292" spans="7:13">
      <c r="G292" s="1" t="s">
        <v>204</v>
      </c>
      <c r="H292" s="1" t="s">
        <v>48</v>
      </c>
      <c r="I292" s="3">
        <v>0.2</v>
      </c>
      <c r="J292" s="3">
        <v>38700</v>
      </c>
      <c r="K292" s="4" t="s">
        <v>431</v>
      </c>
      <c r="L292" t="s">
        <v>205</v>
      </c>
      <c r="M292" s="4" t="s">
        <v>199</v>
      </c>
    </row>
    <row r="293" spans="7:13">
      <c r="G293" s="1" t="s">
        <v>206</v>
      </c>
      <c r="H293" s="1" t="s">
        <v>48</v>
      </c>
      <c r="I293" s="3">
        <v>0.2</v>
      </c>
      <c r="J293" s="3">
        <v>39600</v>
      </c>
      <c r="K293" s="4" t="s">
        <v>432</v>
      </c>
      <c r="L293" t="s">
        <v>207</v>
      </c>
      <c r="M293" s="4" t="s">
        <v>199</v>
      </c>
    </row>
    <row r="294" spans="7:13">
      <c r="G294" s="1" t="s">
        <v>208</v>
      </c>
      <c r="H294" s="1" t="s">
        <v>48</v>
      </c>
      <c r="I294" s="3">
        <v>0.2</v>
      </c>
      <c r="J294" s="3">
        <v>40500</v>
      </c>
      <c r="K294" s="4" t="s">
        <v>433</v>
      </c>
      <c r="L294" t="s">
        <v>209</v>
      </c>
      <c r="M294" s="4" t="s">
        <v>199</v>
      </c>
    </row>
    <row r="295" spans="7:13">
      <c r="G295" s="1" t="s">
        <v>210</v>
      </c>
      <c r="H295" s="1" t="s">
        <v>48</v>
      </c>
      <c r="I295" s="3">
        <v>0.2</v>
      </c>
      <c r="J295" s="3">
        <v>41400</v>
      </c>
      <c r="K295" s="4" t="s">
        <v>434</v>
      </c>
      <c r="L295" t="s">
        <v>211</v>
      </c>
      <c r="M295" s="4" t="s">
        <v>199</v>
      </c>
    </row>
    <row r="296" spans="7:13">
      <c r="G296" s="1" t="s">
        <v>212</v>
      </c>
      <c r="H296" s="1" t="s">
        <v>48</v>
      </c>
      <c r="I296" s="3">
        <v>0.2</v>
      </c>
      <c r="J296" s="3">
        <v>42300</v>
      </c>
      <c r="K296" s="4" t="s">
        <v>435</v>
      </c>
      <c r="L296" t="s">
        <v>213</v>
      </c>
      <c r="M296" s="4" t="s">
        <v>199</v>
      </c>
    </row>
    <row r="297" spans="7:13">
      <c r="G297" s="1" t="s">
        <v>214</v>
      </c>
      <c r="H297" s="1" t="s">
        <v>48</v>
      </c>
      <c r="I297" s="3">
        <v>0.2</v>
      </c>
      <c r="J297" s="3">
        <v>43200</v>
      </c>
      <c r="K297" s="4" t="s">
        <v>436</v>
      </c>
      <c r="L297" t="s">
        <v>215</v>
      </c>
      <c r="M297" s="4" t="s">
        <v>199</v>
      </c>
    </row>
    <row r="298" spans="7:13">
      <c r="G298" s="1" t="s">
        <v>216</v>
      </c>
      <c r="H298" s="1" t="s">
        <v>48</v>
      </c>
      <c r="I298" s="3">
        <v>0.2</v>
      </c>
      <c r="J298" s="3">
        <v>44100</v>
      </c>
      <c r="K298" s="4" t="s">
        <v>437</v>
      </c>
      <c r="L298" t="s">
        <v>217</v>
      </c>
      <c r="M298" s="4" t="s">
        <v>199</v>
      </c>
    </row>
    <row r="299" spans="7:13">
      <c r="G299" s="1" t="s">
        <v>218</v>
      </c>
      <c r="H299" s="1" t="s">
        <v>48</v>
      </c>
      <c r="I299" s="3">
        <v>0.2</v>
      </c>
      <c r="J299" s="3">
        <v>45000</v>
      </c>
      <c r="K299" s="4" t="s">
        <v>438</v>
      </c>
      <c r="L299" t="s">
        <v>219</v>
      </c>
      <c r="M299" s="4" t="s">
        <v>220</v>
      </c>
    </row>
    <row r="300" spans="7:13">
      <c r="G300" s="1" t="s">
        <v>221</v>
      </c>
      <c r="H300" s="1" t="s">
        <v>50</v>
      </c>
      <c r="I300" s="3">
        <v>0.1</v>
      </c>
      <c r="J300" s="3">
        <v>46000</v>
      </c>
      <c r="K300" s="4" t="s">
        <v>439</v>
      </c>
      <c r="L300" t="s">
        <v>222</v>
      </c>
      <c r="M300" s="4" t="s">
        <v>220</v>
      </c>
    </row>
    <row r="301" spans="7:13">
      <c r="G301" s="1" t="s">
        <v>223</v>
      </c>
      <c r="H301" s="1" t="s">
        <v>50</v>
      </c>
      <c r="I301" s="3">
        <v>0.1</v>
      </c>
      <c r="J301" s="3">
        <v>47000</v>
      </c>
      <c r="K301" s="4" t="s">
        <v>440</v>
      </c>
      <c r="L301" t="s">
        <v>224</v>
      </c>
      <c r="M301" s="4" t="s">
        <v>220</v>
      </c>
    </row>
    <row r="302" spans="7:13">
      <c r="G302" s="1" t="s">
        <v>225</v>
      </c>
      <c r="H302" s="1" t="s">
        <v>50</v>
      </c>
      <c r="I302" s="3">
        <v>0.1</v>
      </c>
      <c r="J302" s="3">
        <v>48000</v>
      </c>
      <c r="K302" s="4" t="s">
        <v>441</v>
      </c>
      <c r="L302" t="s">
        <v>226</v>
      </c>
      <c r="M302" s="4" t="s">
        <v>220</v>
      </c>
    </row>
    <row r="303" spans="7:13">
      <c r="G303" s="1" t="s">
        <v>227</v>
      </c>
      <c r="H303" s="1" t="s">
        <v>50</v>
      </c>
      <c r="I303" s="3">
        <v>0.1</v>
      </c>
      <c r="J303" s="3">
        <v>49000</v>
      </c>
      <c r="K303" s="4" t="s">
        <v>442</v>
      </c>
      <c r="L303" t="s">
        <v>228</v>
      </c>
      <c r="M303" s="4" t="s">
        <v>220</v>
      </c>
    </row>
    <row r="304" spans="7:13">
      <c r="G304" s="1" t="s">
        <v>229</v>
      </c>
      <c r="H304" s="1" t="s">
        <v>50</v>
      </c>
      <c r="I304" s="3">
        <v>0.1</v>
      </c>
      <c r="J304" s="3">
        <v>50000</v>
      </c>
      <c r="K304" s="4" t="s">
        <v>443</v>
      </c>
      <c r="L304" t="s">
        <v>230</v>
      </c>
      <c r="M304" s="4" t="s">
        <v>220</v>
      </c>
    </row>
    <row r="305" spans="2:13">
      <c r="G305" s="1" t="s">
        <v>231</v>
      </c>
      <c r="H305" s="1" t="s">
        <v>50</v>
      </c>
      <c r="I305" s="3">
        <v>0.1</v>
      </c>
      <c r="J305" s="3">
        <v>51000</v>
      </c>
      <c r="K305" s="4" t="s">
        <v>444</v>
      </c>
      <c r="L305" t="s">
        <v>232</v>
      </c>
      <c r="M305" s="4" t="s">
        <v>220</v>
      </c>
    </row>
    <row r="306" spans="2:13">
      <c r="G306" s="1" t="s">
        <v>233</v>
      </c>
      <c r="H306" s="1" t="s">
        <v>50</v>
      </c>
      <c r="I306" s="3">
        <v>0.1</v>
      </c>
      <c r="J306" s="3">
        <v>52000</v>
      </c>
      <c r="K306" s="4" t="s">
        <v>445</v>
      </c>
      <c r="L306" t="s">
        <v>234</v>
      </c>
      <c r="M306" s="4" t="s">
        <v>220</v>
      </c>
    </row>
    <row r="307" spans="2:13">
      <c r="G307" s="1" t="s">
        <v>235</v>
      </c>
      <c r="H307" s="1" t="s">
        <v>50</v>
      </c>
      <c r="I307" s="3">
        <v>0.1</v>
      </c>
      <c r="J307" s="3">
        <v>53000</v>
      </c>
      <c r="K307" s="4" t="s">
        <v>446</v>
      </c>
      <c r="L307" t="s">
        <v>236</v>
      </c>
      <c r="M307" s="4" t="s">
        <v>220</v>
      </c>
    </row>
    <row r="308" spans="2:13">
      <c r="G308" s="1" t="s">
        <v>237</v>
      </c>
      <c r="H308" s="1" t="s">
        <v>50</v>
      </c>
      <c r="I308" s="3">
        <v>0.1</v>
      </c>
      <c r="J308" s="3">
        <v>54000</v>
      </c>
      <c r="K308" s="4" t="s">
        <v>447</v>
      </c>
      <c r="L308" t="s">
        <v>238</v>
      </c>
      <c r="M308" s="4" t="s">
        <v>220</v>
      </c>
    </row>
    <row r="309" spans="2:13">
      <c r="G309" s="1" t="s">
        <v>239</v>
      </c>
      <c r="H309" s="1" t="s">
        <v>50</v>
      </c>
      <c r="I309" s="3">
        <v>0.1</v>
      </c>
      <c r="J309" s="3">
        <v>55000</v>
      </c>
      <c r="K309" s="4" t="s">
        <v>448</v>
      </c>
      <c r="L309" t="s">
        <v>240</v>
      </c>
      <c r="M309" s="4"/>
    </row>
    <row r="311" spans="2:13">
      <c r="B311" s="1" t="s">
        <v>449</v>
      </c>
      <c r="C311" s="1" t="s">
        <v>450</v>
      </c>
      <c r="D311" s="1" t="s">
        <v>451</v>
      </c>
      <c r="E311" s="1" t="s">
        <v>452</v>
      </c>
      <c r="G311" s="1" t="s">
        <v>30</v>
      </c>
      <c r="H311" s="1" t="s">
        <v>31</v>
      </c>
      <c r="I311" s="3">
        <v>1</v>
      </c>
      <c r="J311" s="3">
        <v>0</v>
      </c>
      <c r="K311" s="4" t="s">
        <v>453</v>
      </c>
      <c r="L311" t="s">
        <v>33</v>
      </c>
      <c r="M311" s="4" t="s">
        <v>32</v>
      </c>
    </row>
    <row r="312" spans="2:13">
      <c r="G312" s="1" t="s">
        <v>31</v>
      </c>
      <c r="H312" s="1" t="s">
        <v>31</v>
      </c>
      <c r="I312" s="3">
        <v>1</v>
      </c>
      <c r="J312" s="3">
        <v>100</v>
      </c>
      <c r="K312" s="4" t="s">
        <v>453</v>
      </c>
      <c r="L312" t="s">
        <v>33</v>
      </c>
      <c r="M312" s="4" t="s">
        <v>32</v>
      </c>
    </row>
    <row r="313" spans="2:13">
      <c r="G313" s="1" t="s">
        <v>34</v>
      </c>
      <c r="H313" s="1" t="s">
        <v>31</v>
      </c>
      <c r="I313" s="3">
        <v>1</v>
      </c>
      <c r="J313" s="3">
        <v>200</v>
      </c>
      <c r="K313" s="4" t="s">
        <v>454</v>
      </c>
      <c r="L313" t="s">
        <v>35</v>
      </c>
      <c r="M313" s="4" t="s">
        <v>32</v>
      </c>
    </row>
    <row r="314" spans="2:13">
      <c r="G314" s="1" t="s">
        <v>36</v>
      </c>
      <c r="H314" s="1" t="s">
        <v>31</v>
      </c>
      <c r="I314" s="3">
        <v>1</v>
      </c>
      <c r="J314" s="3">
        <v>300</v>
      </c>
      <c r="K314" s="4" t="s">
        <v>455</v>
      </c>
      <c r="L314" t="s">
        <v>37</v>
      </c>
      <c r="M314" s="4" t="s">
        <v>32</v>
      </c>
    </row>
    <row r="315" spans="2:13">
      <c r="G315" s="1" t="s">
        <v>38</v>
      </c>
      <c r="H315" s="1" t="s">
        <v>31</v>
      </c>
      <c r="I315" s="3">
        <v>1</v>
      </c>
      <c r="J315" s="3">
        <v>400</v>
      </c>
      <c r="K315" s="4" t="s">
        <v>456</v>
      </c>
      <c r="L315" t="s">
        <v>39</v>
      </c>
      <c r="M315" s="4" t="s">
        <v>32</v>
      </c>
    </row>
    <row r="316" spans="2:13">
      <c r="G316" s="1" t="s">
        <v>40</v>
      </c>
      <c r="H316" s="1" t="s">
        <v>31</v>
      </c>
      <c r="I316" s="3">
        <v>1</v>
      </c>
      <c r="J316" s="3">
        <v>500</v>
      </c>
      <c r="K316" s="4" t="s">
        <v>457</v>
      </c>
      <c r="L316" t="s">
        <v>41</v>
      </c>
      <c r="M316" s="4" t="s">
        <v>32</v>
      </c>
    </row>
    <row r="317" spans="2:13">
      <c r="G317" s="1" t="s">
        <v>42</v>
      </c>
      <c r="H317" s="1" t="s">
        <v>31</v>
      </c>
      <c r="I317" s="3">
        <v>1</v>
      </c>
      <c r="J317" s="3">
        <v>600</v>
      </c>
      <c r="K317" s="4" t="s">
        <v>458</v>
      </c>
      <c r="L317" t="s">
        <v>43</v>
      </c>
      <c r="M317" s="4" t="s">
        <v>32</v>
      </c>
    </row>
    <row r="318" spans="2:13">
      <c r="G318" s="1" t="s">
        <v>44</v>
      </c>
      <c r="H318" s="1" t="s">
        <v>31</v>
      </c>
      <c r="I318" s="3">
        <v>1</v>
      </c>
      <c r="J318" s="3">
        <v>700</v>
      </c>
      <c r="K318" s="4" t="s">
        <v>459</v>
      </c>
      <c r="L318" t="s">
        <v>45</v>
      </c>
      <c r="M318" s="4" t="s">
        <v>32</v>
      </c>
    </row>
    <row r="319" spans="2:13">
      <c r="G319" s="1" t="s">
        <v>46</v>
      </c>
      <c r="H319" s="1" t="s">
        <v>31</v>
      </c>
      <c r="I319" s="3">
        <v>1</v>
      </c>
      <c r="J319" s="3">
        <v>800</v>
      </c>
      <c r="K319" s="4" t="s">
        <v>460</v>
      </c>
      <c r="L319" t="s">
        <v>47</v>
      </c>
      <c r="M319" s="4" t="s">
        <v>32</v>
      </c>
    </row>
    <row r="320" spans="2:13">
      <c r="G320" s="1" t="s">
        <v>48</v>
      </c>
      <c r="H320" s="1" t="s">
        <v>31</v>
      </c>
      <c r="I320" s="3">
        <v>1</v>
      </c>
      <c r="J320" s="3">
        <v>900</v>
      </c>
      <c r="K320" s="4" t="s">
        <v>461</v>
      </c>
      <c r="L320" t="s">
        <v>49</v>
      </c>
      <c r="M320" s="4" t="s">
        <v>32</v>
      </c>
    </row>
    <row r="321" spans="7:13">
      <c r="G321" s="1" t="s">
        <v>50</v>
      </c>
      <c r="H321" s="1" t="s">
        <v>31</v>
      </c>
      <c r="I321" s="3">
        <v>1</v>
      </c>
      <c r="J321" s="3">
        <v>1000</v>
      </c>
      <c r="K321" s="4" t="s">
        <v>462</v>
      </c>
      <c r="L321" t="s">
        <v>51</v>
      </c>
      <c r="M321" s="4" t="s">
        <v>52</v>
      </c>
    </row>
    <row r="322" spans="7:13">
      <c r="G322" s="1" t="s">
        <v>53</v>
      </c>
      <c r="H322" s="1" t="s">
        <v>34</v>
      </c>
      <c r="I322" s="3">
        <v>0.9</v>
      </c>
      <c r="J322" s="3">
        <v>1200</v>
      </c>
      <c r="K322" s="4" t="s">
        <v>463</v>
      </c>
      <c r="L322" t="s">
        <v>54</v>
      </c>
      <c r="M322" s="4" t="s">
        <v>52</v>
      </c>
    </row>
    <row r="323" spans="7:13">
      <c r="G323" s="1" t="s">
        <v>55</v>
      </c>
      <c r="H323" s="1" t="s">
        <v>34</v>
      </c>
      <c r="I323" s="3">
        <v>0.9</v>
      </c>
      <c r="J323" s="3">
        <v>1400</v>
      </c>
      <c r="K323" s="4" t="s">
        <v>464</v>
      </c>
      <c r="L323" t="s">
        <v>56</v>
      </c>
      <c r="M323" s="4" t="s">
        <v>52</v>
      </c>
    </row>
    <row r="324" spans="7:13">
      <c r="G324" s="1" t="s">
        <v>57</v>
      </c>
      <c r="H324" s="1" t="s">
        <v>34</v>
      </c>
      <c r="I324" s="3">
        <v>0.9</v>
      </c>
      <c r="J324" s="3">
        <v>1600</v>
      </c>
      <c r="K324" s="4" t="s">
        <v>465</v>
      </c>
      <c r="L324" t="s">
        <v>58</v>
      </c>
      <c r="M324" s="4" t="s">
        <v>52</v>
      </c>
    </row>
    <row r="325" spans="7:13">
      <c r="G325" s="1" t="s">
        <v>59</v>
      </c>
      <c r="H325" s="1" t="s">
        <v>34</v>
      </c>
      <c r="I325" s="3">
        <v>0.9</v>
      </c>
      <c r="J325" s="3">
        <v>1800</v>
      </c>
      <c r="K325" s="4" t="s">
        <v>466</v>
      </c>
      <c r="L325" t="s">
        <v>60</v>
      </c>
      <c r="M325" s="4" t="s">
        <v>52</v>
      </c>
    </row>
    <row r="326" spans="7:13">
      <c r="G326" s="1" t="s">
        <v>61</v>
      </c>
      <c r="H326" s="1" t="s">
        <v>34</v>
      </c>
      <c r="I326" s="3">
        <v>0.9</v>
      </c>
      <c r="J326" s="3">
        <v>2000</v>
      </c>
      <c r="K326" s="4" t="s">
        <v>467</v>
      </c>
      <c r="L326" t="s">
        <v>62</v>
      </c>
      <c r="M326" s="4" t="s">
        <v>52</v>
      </c>
    </row>
    <row r="327" spans="7:13">
      <c r="G327" s="1" t="s">
        <v>63</v>
      </c>
      <c r="H327" s="1" t="s">
        <v>34</v>
      </c>
      <c r="I327" s="3">
        <v>0.9</v>
      </c>
      <c r="J327" s="3">
        <v>2200</v>
      </c>
      <c r="K327" s="4" t="s">
        <v>468</v>
      </c>
      <c r="L327" t="s">
        <v>64</v>
      </c>
      <c r="M327" s="4" t="s">
        <v>52</v>
      </c>
    </row>
    <row r="328" spans="7:13">
      <c r="G328" s="1" t="s">
        <v>65</v>
      </c>
      <c r="H328" s="1" t="s">
        <v>34</v>
      </c>
      <c r="I328" s="3">
        <v>0.9</v>
      </c>
      <c r="J328" s="3">
        <v>2400</v>
      </c>
      <c r="K328" s="4" t="s">
        <v>469</v>
      </c>
      <c r="L328" t="s">
        <v>66</v>
      </c>
      <c r="M328" s="4" t="s">
        <v>52</v>
      </c>
    </row>
    <row r="329" spans="7:13">
      <c r="G329" s="1" t="s">
        <v>67</v>
      </c>
      <c r="H329" s="1" t="s">
        <v>34</v>
      </c>
      <c r="I329" s="3">
        <v>0.9</v>
      </c>
      <c r="J329" s="3">
        <v>2600</v>
      </c>
      <c r="K329" s="4" t="s">
        <v>470</v>
      </c>
      <c r="L329" t="s">
        <v>68</v>
      </c>
      <c r="M329" s="4" t="s">
        <v>52</v>
      </c>
    </row>
    <row r="330" spans="7:13">
      <c r="G330" s="1" t="s">
        <v>69</v>
      </c>
      <c r="H330" s="1" t="s">
        <v>34</v>
      </c>
      <c r="I330" s="3">
        <v>0.9</v>
      </c>
      <c r="J330" s="3">
        <v>2800</v>
      </c>
      <c r="K330" s="4" t="s">
        <v>471</v>
      </c>
      <c r="L330" t="s">
        <v>70</v>
      </c>
      <c r="M330" s="4" t="s">
        <v>52</v>
      </c>
    </row>
    <row r="331" spans="7:13">
      <c r="G331" s="1" t="s">
        <v>71</v>
      </c>
      <c r="H331" s="1" t="s">
        <v>34</v>
      </c>
      <c r="I331" s="3">
        <v>0.9</v>
      </c>
      <c r="J331" s="3">
        <v>3000</v>
      </c>
      <c r="K331" s="4" t="s">
        <v>472</v>
      </c>
      <c r="L331" t="s">
        <v>72</v>
      </c>
      <c r="M331" s="4" t="s">
        <v>73</v>
      </c>
    </row>
    <row r="332" spans="7:13">
      <c r="G332" s="1" t="s">
        <v>74</v>
      </c>
      <c r="H332" s="1" t="s">
        <v>36</v>
      </c>
      <c r="I332" s="3">
        <v>0.8</v>
      </c>
      <c r="J332" s="3">
        <v>3300</v>
      </c>
      <c r="K332" s="4" t="s">
        <v>473</v>
      </c>
      <c r="L332" t="s">
        <v>75</v>
      </c>
      <c r="M332" s="4" t="s">
        <v>73</v>
      </c>
    </row>
    <row r="333" spans="7:13">
      <c r="G333" s="1" t="s">
        <v>76</v>
      </c>
      <c r="H333" s="1" t="s">
        <v>36</v>
      </c>
      <c r="I333" s="3">
        <v>0.8</v>
      </c>
      <c r="J333" s="3">
        <v>3600</v>
      </c>
      <c r="K333" s="4" t="s">
        <v>474</v>
      </c>
      <c r="L333" t="s">
        <v>77</v>
      </c>
      <c r="M333" s="4" t="s">
        <v>73</v>
      </c>
    </row>
    <row r="334" spans="7:13">
      <c r="G334" s="1" t="s">
        <v>78</v>
      </c>
      <c r="H334" s="1" t="s">
        <v>36</v>
      </c>
      <c r="I334" s="3">
        <v>0.8</v>
      </c>
      <c r="J334" s="3">
        <v>3900</v>
      </c>
      <c r="K334" s="4" t="s">
        <v>475</v>
      </c>
      <c r="L334" t="s">
        <v>79</v>
      </c>
      <c r="M334" s="4" t="s">
        <v>73</v>
      </c>
    </row>
    <row r="335" spans="7:13">
      <c r="G335" s="1" t="s">
        <v>80</v>
      </c>
      <c r="H335" s="1" t="s">
        <v>36</v>
      </c>
      <c r="I335" s="3">
        <v>0.8</v>
      </c>
      <c r="J335" s="3">
        <v>4200</v>
      </c>
      <c r="K335" s="4" t="s">
        <v>476</v>
      </c>
      <c r="L335" t="s">
        <v>81</v>
      </c>
      <c r="M335" s="4" t="s">
        <v>73</v>
      </c>
    </row>
    <row r="336" spans="7:13">
      <c r="G336" s="1" t="s">
        <v>82</v>
      </c>
      <c r="H336" s="1" t="s">
        <v>36</v>
      </c>
      <c r="I336" s="3">
        <v>0.8</v>
      </c>
      <c r="J336" s="3">
        <v>4500</v>
      </c>
      <c r="K336" s="4" t="s">
        <v>477</v>
      </c>
      <c r="L336" t="s">
        <v>83</v>
      </c>
      <c r="M336" s="4" t="s">
        <v>73</v>
      </c>
    </row>
    <row r="337" spans="7:13">
      <c r="G337" s="1" t="s">
        <v>84</v>
      </c>
      <c r="H337" s="1" t="s">
        <v>36</v>
      </c>
      <c r="I337" s="3">
        <v>0.8</v>
      </c>
      <c r="J337" s="3">
        <v>4800</v>
      </c>
      <c r="K337" s="4" t="s">
        <v>478</v>
      </c>
      <c r="L337" t="s">
        <v>85</v>
      </c>
      <c r="M337" s="4" t="s">
        <v>73</v>
      </c>
    </row>
    <row r="338" spans="7:13">
      <c r="G338" s="1" t="s">
        <v>86</v>
      </c>
      <c r="H338" s="1" t="s">
        <v>36</v>
      </c>
      <c r="I338" s="3">
        <v>0.8</v>
      </c>
      <c r="J338" s="3">
        <v>5100</v>
      </c>
      <c r="K338" s="4" t="s">
        <v>479</v>
      </c>
      <c r="L338" t="s">
        <v>87</v>
      </c>
      <c r="M338" s="4" t="s">
        <v>73</v>
      </c>
    </row>
    <row r="339" spans="7:13">
      <c r="G339" s="1" t="s">
        <v>88</v>
      </c>
      <c r="H339" s="1" t="s">
        <v>36</v>
      </c>
      <c r="I339" s="3">
        <v>0.8</v>
      </c>
      <c r="J339" s="3">
        <v>5400</v>
      </c>
      <c r="K339" s="4" t="s">
        <v>480</v>
      </c>
      <c r="L339" t="s">
        <v>89</v>
      </c>
      <c r="M339" s="4" t="s">
        <v>73</v>
      </c>
    </row>
    <row r="340" spans="7:13">
      <c r="G340" s="1" t="s">
        <v>90</v>
      </c>
      <c r="H340" s="1" t="s">
        <v>36</v>
      </c>
      <c r="I340" s="3">
        <v>0.8</v>
      </c>
      <c r="J340" s="3">
        <v>5700</v>
      </c>
      <c r="K340" s="4" t="s">
        <v>481</v>
      </c>
      <c r="L340" t="s">
        <v>91</v>
      </c>
      <c r="M340" s="4" t="s">
        <v>73</v>
      </c>
    </row>
    <row r="341" spans="7:13">
      <c r="G341" s="1" t="s">
        <v>92</v>
      </c>
      <c r="H341" s="1" t="s">
        <v>36</v>
      </c>
      <c r="I341" s="3">
        <v>0.8</v>
      </c>
      <c r="J341" s="3">
        <v>6000</v>
      </c>
      <c r="K341" s="4" t="s">
        <v>482</v>
      </c>
      <c r="L341" t="s">
        <v>93</v>
      </c>
      <c r="M341" s="4" t="s">
        <v>94</v>
      </c>
    </row>
    <row r="342" spans="7:13">
      <c r="G342" s="1" t="s">
        <v>95</v>
      </c>
      <c r="H342" s="1" t="s">
        <v>38</v>
      </c>
      <c r="I342" s="3">
        <v>0.7</v>
      </c>
      <c r="J342" s="3">
        <v>6400</v>
      </c>
      <c r="K342" s="4" t="s">
        <v>483</v>
      </c>
      <c r="L342" t="s">
        <v>96</v>
      </c>
      <c r="M342" s="4" t="s">
        <v>94</v>
      </c>
    </row>
    <row r="343" spans="7:13">
      <c r="G343" s="1" t="s">
        <v>97</v>
      </c>
      <c r="H343" s="1" t="s">
        <v>38</v>
      </c>
      <c r="I343" s="3">
        <v>0.7</v>
      </c>
      <c r="J343" s="3">
        <v>6800</v>
      </c>
      <c r="K343" s="4" t="s">
        <v>484</v>
      </c>
      <c r="L343" t="s">
        <v>98</v>
      </c>
      <c r="M343" s="4" t="s">
        <v>94</v>
      </c>
    </row>
    <row r="344" spans="7:13">
      <c r="G344" s="1" t="s">
        <v>99</v>
      </c>
      <c r="H344" s="1" t="s">
        <v>38</v>
      </c>
      <c r="I344" s="3">
        <v>0.7</v>
      </c>
      <c r="J344" s="3">
        <v>7200</v>
      </c>
      <c r="K344" s="4" t="s">
        <v>485</v>
      </c>
      <c r="L344" t="s">
        <v>100</v>
      </c>
      <c r="M344" s="4" t="s">
        <v>94</v>
      </c>
    </row>
    <row r="345" spans="7:13">
      <c r="G345" s="1" t="s">
        <v>101</v>
      </c>
      <c r="H345" s="1" t="s">
        <v>38</v>
      </c>
      <c r="I345" s="3">
        <v>0.7</v>
      </c>
      <c r="J345" s="3">
        <v>7600</v>
      </c>
      <c r="K345" s="4" t="s">
        <v>486</v>
      </c>
      <c r="L345" t="s">
        <v>102</v>
      </c>
      <c r="M345" s="4" t="s">
        <v>94</v>
      </c>
    </row>
    <row r="346" spans="7:13">
      <c r="G346" s="1" t="s">
        <v>103</v>
      </c>
      <c r="H346" s="1" t="s">
        <v>38</v>
      </c>
      <c r="I346" s="3">
        <v>0.7</v>
      </c>
      <c r="J346" s="3">
        <v>8000</v>
      </c>
      <c r="K346" s="4" t="s">
        <v>487</v>
      </c>
      <c r="L346" t="s">
        <v>104</v>
      </c>
      <c r="M346" s="4" t="s">
        <v>94</v>
      </c>
    </row>
    <row r="347" spans="7:13">
      <c r="G347" s="1" t="s">
        <v>105</v>
      </c>
      <c r="H347" s="1" t="s">
        <v>38</v>
      </c>
      <c r="I347" s="3">
        <v>0.7</v>
      </c>
      <c r="J347" s="3">
        <v>8400</v>
      </c>
      <c r="K347" s="4" t="s">
        <v>488</v>
      </c>
      <c r="L347" t="s">
        <v>106</v>
      </c>
      <c r="M347" s="4" t="s">
        <v>94</v>
      </c>
    </row>
    <row r="348" spans="7:13">
      <c r="G348" s="1" t="s">
        <v>107</v>
      </c>
      <c r="H348" s="1" t="s">
        <v>38</v>
      </c>
      <c r="I348" s="3">
        <v>0.7</v>
      </c>
      <c r="J348" s="3">
        <v>8800</v>
      </c>
      <c r="K348" s="4" t="s">
        <v>489</v>
      </c>
      <c r="L348" t="s">
        <v>108</v>
      </c>
      <c r="M348" s="4" t="s">
        <v>94</v>
      </c>
    </row>
    <row r="349" spans="7:13">
      <c r="G349" s="1" t="s">
        <v>109</v>
      </c>
      <c r="H349" s="1" t="s">
        <v>38</v>
      </c>
      <c r="I349" s="3">
        <v>0.7</v>
      </c>
      <c r="J349" s="3">
        <v>9200</v>
      </c>
      <c r="K349" s="4" t="s">
        <v>490</v>
      </c>
      <c r="L349" t="s">
        <v>110</v>
      </c>
      <c r="M349" s="4" t="s">
        <v>94</v>
      </c>
    </row>
    <row r="350" spans="7:13">
      <c r="G350" s="1" t="s">
        <v>111</v>
      </c>
      <c r="H350" s="1" t="s">
        <v>38</v>
      </c>
      <c r="I350" s="3">
        <v>0.7</v>
      </c>
      <c r="J350" s="3">
        <v>9600</v>
      </c>
      <c r="K350" s="4" t="s">
        <v>491</v>
      </c>
      <c r="L350" t="s">
        <v>112</v>
      </c>
      <c r="M350" s="4" t="s">
        <v>94</v>
      </c>
    </row>
    <row r="351" spans="7:13">
      <c r="G351" s="1" t="s">
        <v>113</v>
      </c>
      <c r="H351" s="1" t="s">
        <v>38</v>
      </c>
      <c r="I351" s="3">
        <v>0.7</v>
      </c>
      <c r="J351" s="3">
        <v>10000</v>
      </c>
      <c r="K351" s="4" t="s">
        <v>492</v>
      </c>
      <c r="L351" t="s">
        <v>114</v>
      </c>
      <c r="M351" s="4" t="s">
        <v>115</v>
      </c>
    </row>
    <row r="352" spans="7:13">
      <c r="G352" s="1" t="s">
        <v>116</v>
      </c>
      <c r="H352" s="1" t="s">
        <v>40</v>
      </c>
      <c r="I352" s="3">
        <v>0.6</v>
      </c>
      <c r="J352" s="3">
        <v>10500</v>
      </c>
      <c r="K352" s="4" t="s">
        <v>493</v>
      </c>
      <c r="L352" t="s">
        <v>117</v>
      </c>
      <c r="M352" s="4" t="s">
        <v>115</v>
      </c>
    </row>
    <row r="353" spans="7:13">
      <c r="G353" s="1" t="s">
        <v>118</v>
      </c>
      <c r="H353" s="1" t="s">
        <v>40</v>
      </c>
      <c r="I353" s="3">
        <v>0.6</v>
      </c>
      <c r="J353" s="3">
        <v>11000</v>
      </c>
      <c r="K353" s="4" t="s">
        <v>494</v>
      </c>
      <c r="L353" t="s">
        <v>119</v>
      </c>
      <c r="M353" s="4" t="s">
        <v>115</v>
      </c>
    </row>
    <row r="354" spans="7:13">
      <c r="G354" s="1" t="s">
        <v>120</v>
      </c>
      <c r="H354" s="1" t="s">
        <v>40</v>
      </c>
      <c r="I354" s="3">
        <v>0.6</v>
      </c>
      <c r="J354" s="3">
        <v>11500</v>
      </c>
      <c r="K354" s="4" t="s">
        <v>495</v>
      </c>
      <c r="L354" t="s">
        <v>121</v>
      </c>
      <c r="M354" s="4" t="s">
        <v>115</v>
      </c>
    </row>
    <row r="355" spans="7:13">
      <c r="G355" s="1" t="s">
        <v>122</v>
      </c>
      <c r="H355" s="1" t="s">
        <v>40</v>
      </c>
      <c r="I355" s="3">
        <v>0.6</v>
      </c>
      <c r="J355" s="3">
        <v>12000</v>
      </c>
      <c r="K355" s="4" t="s">
        <v>496</v>
      </c>
      <c r="L355" t="s">
        <v>123</v>
      </c>
      <c r="M355" s="4" t="s">
        <v>115</v>
      </c>
    </row>
    <row r="356" spans="7:13">
      <c r="G356" s="1" t="s">
        <v>124</v>
      </c>
      <c r="H356" s="1" t="s">
        <v>40</v>
      </c>
      <c r="I356" s="3">
        <v>0.6</v>
      </c>
      <c r="J356" s="3">
        <v>12500</v>
      </c>
      <c r="K356" s="4" t="s">
        <v>497</v>
      </c>
      <c r="L356" t="s">
        <v>125</v>
      </c>
      <c r="M356" s="4" t="s">
        <v>115</v>
      </c>
    </row>
    <row r="357" spans="7:13">
      <c r="G357" s="1" t="s">
        <v>126</v>
      </c>
      <c r="H357" s="1" t="s">
        <v>40</v>
      </c>
      <c r="I357" s="3">
        <v>0.6</v>
      </c>
      <c r="J357" s="3">
        <v>13000</v>
      </c>
      <c r="K357" s="4" t="s">
        <v>498</v>
      </c>
      <c r="L357" t="s">
        <v>127</v>
      </c>
      <c r="M357" s="4" t="s">
        <v>115</v>
      </c>
    </row>
    <row r="358" spans="7:13">
      <c r="G358" s="1" t="s">
        <v>128</v>
      </c>
      <c r="H358" s="1" t="s">
        <v>40</v>
      </c>
      <c r="I358" s="3">
        <v>0.6</v>
      </c>
      <c r="J358" s="3">
        <v>13500</v>
      </c>
      <c r="K358" s="4" t="s">
        <v>499</v>
      </c>
      <c r="L358" t="s">
        <v>129</v>
      </c>
      <c r="M358" s="4" t="s">
        <v>115</v>
      </c>
    </row>
    <row r="359" spans="7:13">
      <c r="G359" s="1" t="s">
        <v>130</v>
      </c>
      <c r="H359" s="1" t="s">
        <v>40</v>
      </c>
      <c r="I359" s="3">
        <v>0.6</v>
      </c>
      <c r="J359" s="3">
        <v>14000</v>
      </c>
      <c r="K359" s="4" t="s">
        <v>500</v>
      </c>
      <c r="L359" t="s">
        <v>131</v>
      </c>
      <c r="M359" s="4" t="s">
        <v>115</v>
      </c>
    </row>
    <row r="360" spans="7:13">
      <c r="G360" s="1" t="s">
        <v>132</v>
      </c>
      <c r="H360" s="1" t="s">
        <v>40</v>
      </c>
      <c r="I360" s="3">
        <v>0.6</v>
      </c>
      <c r="J360" s="3">
        <v>14500</v>
      </c>
      <c r="K360" s="4" t="s">
        <v>501</v>
      </c>
      <c r="L360" t="s">
        <v>133</v>
      </c>
      <c r="M360" s="4" t="s">
        <v>115</v>
      </c>
    </row>
    <row r="361" spans="7:13">
      <c r="G361" s="1" t="s">
        <v>134</v>
      </c>
      <c r="H361" s="1" t="s">
        <v>40</v>
      </c>
      <c r="I361" s="3">
        <v>0.6</v>
      </c>
      <c r="J361" s="3">
        <v>15000</v>
      </c>
      <c r="K361" s="4" t="s">
        <v>502</v>
      </c>
      <c r="L361" t="s">
        <v>135</v>
      </c>
      <c r="M361" s="4" t="s">
        <v>136</v>
      </c>
    </row>
    <row r="362" spans="7:13">
      <c r="G362" s="1" t="s">
        <v>137</v>
      </c>
      <c r="H362" s="1" t="s">
        <v>42</v>
      </c>
      <c r="I362" s="3">
        <v>0.5</v>
      </c>
      <c r="J362" s="3">
        <v>15600</v>
      </c>
      <c r="K362" s="4" t="s">
        <v>503</v>
      </c>
      <c r="L362" t="s">
        <v>138</v>
      </c>
      <c r="M362" s="4" t="s">
        <v>136</v>
      </c>
    </row>
    <row r="363" spans="7:13">
      <c r="G363" s="1" t="s">
        <v>139</v>
      </c>
      <c r="H363" s="1" t="s">
        <v>42</v>
      </c>
      <c r="I363" s="3">
        <v>0.5</v>
      </c>
      <c r="J363" s="3">
        <v>16200</v>
      </c>
      <c r="K363" s="4" t="s">
        <v>504</v>
      </c>
      <c r="L363" t="s">
        <v>140</v>
      </c>
      <c r="M363" s="4" t="s">
        <v>136</v>
      </c>
    </row>
    <row r="364" spans="7:13">
      <c r="G364" s="1" t="s">
        <v>141</v>
      </c>
      <c r="H364" s="1" t="s">
        <v>42</v>
      </c>
      <c r="I364" s="3">
        <v>0.5</v>
      </c>
      <c r="J364" s="3">
        <v>16800</v>
      </c>
      <c r="K364" s="4" t="s">
        <v>505</v>
      </c>
      <c r="L364" t="s">
        <v>142</v>
      </c>
      <c r="M364" s="4" t="s">
        <v>136</v>
      </c>
    </row>
    <row r="365" spans="7:13">
      <c r="G365" s="1" t="s">
        <v>143</v>
      </c>
      <c r="H365" s="1" t="s">
        <v>42</v>
      </c>
      <c r="I365" s="3">
        <v>0.5</v>
      </c>
      <c r="J365" s="3">
        <v>17400</v>
      </c>
      <c r="K365" s="4" t="s">
        <v>506</v>
      </c>
      <c r="L365" t="s">
        <v>144</v>
      </c>
      <c r="M365" s="4" t="s">
        <v>136</v>
      </c>
    </row>
    <row r="366" spans="7:13">
      <c r="G366" s="1" t="s">
        <v>145</v>
      </c>
      <c r="H366" s="1" t="s">
        <v>42</v>
      </c>
      <c r="I366" s="3">
        <v>0.5</v>
      </c>
      <c r="J366" s="3">
        <v>18000</v>
      </c>
      <c r="K366" s="4" t="s">
        <v>507</v>
      </c>
      <c r="L366" t="s">
        <v>146</v>
      </c>
      <c r="M366" s="4" t="s">
        <v>136</v>
      </c>
    </row>
    <row r="367" spans="7:13">
      <c r="G367" s="1" t="s">
        <v>147</v>
      </c>
      <c r="H367" s="1" t="s">
        <v>42</v>
      </c>
      <c r="I367" s="3">
        <v>0.5</v>
      </c>
      <c r="J367" s="3">
        <v>18600</v>
      </c>
      <c r="K367" s="4" t="s">
        <v>508</v>
      </c>
      <c r="L367" t="s">
        <v>148</v>
      </c>
      <c r="M367" s="4" t="s">
        <v>136</v>
      </c>
    </row>
    <row r="368" spans="7:13">
      <c r="G368" s="1" t="s">
        <v>149</v>
      </c>
      <c r="H368" s="1" t="s">
        <v>42</v>
      </c>
      <c r="I368" s="3">
        <v>0.5</v>
      </c>
      <c r="J368" s="3">
        <v>19200</v>
      </c>
      <c r="K368" s="4" t="s">
        <v>509</v>
      </c>
      <c r="L368" t="s">
        <v>150</v>
      </c>
      <c r="M368" s="4" t="s">
        <v>136</v>
      </c>
    </row>
    <row r="369" spans="7:13">
      <c r="G369" s="1" t="s">
        <v>151</v>
      </c>
      <c r="H369" s="1" t="s">
        <v>42</v>
      </c>
      <c r="I369" s="3">
        <v>0.5</v>
      </c>
      <c r="J369" s="3">
        <v>19800</v>
      </c>
      <c r="K369" s="4" t="s">
        <v>510</v>
      </c>
      <c r="L369" t="s">
        <v>152</v>
      </c>
      <c r="M369" s="4" t="s">
        <v>136</v>
      </c>
    </row>
    <row r="370" spans="7:13">
      <c r="G370" s="1" t="s">
        <v>153</v>
      </c>
      <c r="H370" s="1" t="s">
        <v>42</v>
      </c>
      <c r="I370" s="3">
        <v>0.5</v>
      </c>
      <c r="J370" s="3">
        <v>20400</v>
      </c>
      <c r="K370" s="4" t="s">
        <v>511</v>
      </c>
      <c r="L370" t="s">
        <v>154</v>
      </c>
      <c r="M370" s="4" t="s">
        <v>136</v>
      </c>
    </row>
    <row r="371" spans="7:13">
      <c r="G371" s="1" t="s">
        <v>155</v>
      </c>
      <c r="H371" s="1" t="s">
        <v>42</v>
      </c>
      <c r="I371" s="3">
        <v>0.5</v>
      </c>
      <c r="J371" s="3">
        <v>21000</v>
      </c>
      <c r="K371" s="4" t="s">
        <v>512</v>
      </c>
      <c r="L371" t="s">
        <v>156</v>
      </c>
      <c r="M371" s="4" t="s">
        <v>157</v>
      </c>
    </row>
    <row r="372" spans="7:13">
      <c r="G372" s="1" t="s">
        <v>158</v>
      </c>
      <c r="H372" s="1" t="s">
        <v>44</v>
      </c>
      <c r="I372" s="3">
        <v>0.4</v>
      </c>
      <c r="J372" s="3">
        <v>21700</v>
      </c>
      <c r="K372" s="4" t="s">
        <v>513</v>
      </c>
      <c r="L372" t="s">
        <v>159</v>
      </c>
      <c r="M372" s="4" t="s">
        <v>157</v>
      </c>
    </row>
    <row r="373" spans="7:13">
      <c r="G373" s="1" t="s">
        <v>160</v>
      </c>
      <c r="H373" s="1" t="s">
        <v>44</v>
      </c>
      <c r="I373" s="3">
        <v>0.4</v>
      </c>
      <c r="J373" s="3">
        <v>22400</v>
      </c>
      <c r="K373" s="4" t="s">
        <v>514</v>
      </c>
      <c r="L373" t="s">
        <v>161</v>
      </c>
      <c r="M373" s="4" t="s">
        <v>157</v>
      </c>
    </row>
    <row r="374" spans="7:13">
      <c r="G374" s="1" t="s">
        <v>162</v>
      </c>
      <c r="H374" s="1" t="s">
        <v>44</v>
      </c>
      <c r="I374" s="3">
        <v>0.4</v>
      </c>
      <c r="J374" s="3">
        <v>23100</v>
      </c>
      <c r="K374" s="4" t="s">
        <v>515</v>
      </c>
      <c r="L374" t="s">
        <v>163</v>
      </c>
      <c r="M374" s="4" t="s">
        <v>157</v>
      </c>
    </row>
    <row r="375" spans="7:13">
      <c r="G375" s="1" t="s">
        <v>164</v>
      </c>
      <c r="H375" s="1" t="s">
        <v>44</v>
      </c>
      <c r="I375" s="3">
        <v>0.4</v>
      </c>
      <c r="J375" s="3">
        <v>23800</v>
      </c>
      <c r="K375" s="4" t="s">
        <v>516</v>
      </c>
      <c r="L375" t="s">
        <v>165</v>
      </c>
      <c r="M375" s="4" t="s">
        <v>157</v>
      </c>
    </row>
    <row r="376" spans="7:13">
      <c r="G376" s="1" t="s">
        <v>166</v>
      </c>
      <c r="H376" s="1" t="s">
        <v>44</v>
      </c>
      <c r="I376" s="3">
        <v>0.4</v>
      </c>
      <c r="J376" s="3">
        <v>24500</v>
      </c>
      <c r="K376" s="4" t="s">
        <v>517</v>
      </c>
      <c r="L376" t="s">
        <v>167</v>
      </c>
      <c r="M376" s="4" t="s">
        <v>157</v>
      </c>
    </row>
    <row r="377" spans="7:13">
      <c r="G377" s="1" t="s">
        <v>168</v>
      </c>
      <c r="H377" s="1" t="s">
        <v>44</v>
      </c>
      <c r="I377" s="3">
        <v>0.4</v>
      </c>
      <c r="J377" s="3">
        <v>25200</v>
      </c>
      <c r="K377" s="4" t="s">
        <v>518</v>
      </c>
      <c r="L377" t="s">
        <v>169</v>
      </c>
      <c r="M377" s="4" t="s">
        <v>157</v>
      </c>
    </row>
    <row r="378" spans="7:13">
      <c r="G378" s="1" t="s">
        <v>170</v>
      </c>
      <c r="H378" s="1" t="s">
        <v>44</v>
      </c>
      <c r="I378" s="3">
        <v>0.4</v>
      </c>
      <c r="J378" s="3">
        <v>25900</v>
      </c>
      <c r="K378" s="4" t="s">
        <v>519</v>
      </c>
      <c r="L378" t="s">
        <v>171</v>
      </c>
      <c r="M378" s="4" t="s">
        <v>157</v>
      </c>
    </row>
    <row r="379" spans="7:13">
      <c r="G379" s="1" t="s">
        <v>172</v>
      </c>
      <c r="H379" s="1" t="s">
        <v>44</v>
      </c>
      <c r="I379" s="3">
        <v>0.4</v>
      </c>
      <c r="J379" s="3">
        <v>26600</v>
      </c>
      <c r="K379" s="4" t="s">
        <v>520</v>
      </c>
      <c r="L379" t="s">
        <v>173</v>
      </c>
      <c r="M379" s="4" t="s">
        <v>157</v>
      </c>
    </row>
    <row r="380" spans="7:13">
      <c r="G380" s="1" t="s">
        <v>174</v>
      </c>
      <c r="H380" s="1" t="s">
        <v>44</v>
      </c>
      <c r="I380" s="3">
        <v>0.4</v>
      </c>
      <c r="J380" s="3">
        <v>27300</v>
      </c>
      <c r="K380" s="4" t="s">
        <v>521</v>
      </c>
      <c r="L380" t="s">
        <v>175</v>
      </c>
      <c r="M380" s="4" t="s">
        <v>157</v>
      </c>
    </row>
    <row r="381" spans="7:13">
      <c r="G381" s="1" t="s">
        <v>176</v>
      </c>
      <c r="H381" s="1" t="s">
        <v>44</v>
      </c>
      <c r="I381" s="3">
        <v>0.4</v>
      </c>
      <c r="J381" s="3">
        <v>28000</v>
      </c>
      <c r="K381" s="4" t="s">
        <v>522</v>
      </c>
      <c r="L381" t="s">
        <v>177</v>
      </c>
      <c r="M381" s="4" t="s">
        <v>178</v>
      </c>
    </row>
    <row r="382" spans="7:13">
      <c r="G382" s="1" t="s">
        <v>179</v>
      </c>
      <c r="H382" s="1" t="s">
        <v>46</v>
      </c>
      <c r="I382" s="3">
        <v>0.3</v>
      </c>
      <c r="J382" s="3">
        <v>28800</v>
      </c>
      <c r="K382" s="4" t="s">
        <v>523</v>
      </c>
      <c r="L382" t="s">
        <v>180</v>
      </c>
      <c r="M382" s="4" t="s">
        <v>178</v>
      </c>
    </row>
    <row r="383" spans="7:13">
      <c r="G383" s="1" t="s">
        <v>181</v>
      </c>
      <c r="H383" s="1" t="s">
        <v>46</v>
      </c>
      <c r="I383" s="3">
        <v>0.3</v>
      </c>
      <c r="J383" s="3">
        <v>29600</v>
      </c>
      <c r="K383" s="4" t="s">
        <v>524</v>
      </c>
      <c r="L383" t="s">
        <v>182</v>
      </c>
      <c r="M383" s="4" t="s">
        <v>178</v>
      </c>
    </row>
    <row r="384" spans="7:13">
      <c r="G384" s="1" t="s">
        <v>183</v>
      </c>
      <c r="H384" s="1" t="s">
        <v>46</v>
      </c>
      <c r="I384" s="3">
        <v>0.3</v>
      </c>
      <c r="J384" s="3">
        <v>30400</v>
      </c>
      <c r="K384" s="4" t="s">
        <v>525</v>
      </c>
      <c r="L384" t="s">
        <v>184</v>
      </c>
      <c r="M384" s="4" t="s">
        <v>178</v>
      </c>
    </row>
    <row r="385" spans="7:13">
      <c r="G385" s="1" t="s">
        <v>185</v>
      </c>
      <c r="H385" s="1" t="s">
        <v>46</v>
      </c>
      <c r="I385" s="3">
        <v>0.3</v>
      </c>
      <c r="J385" s="3">
        <v>31200</v>
      </c>
      <c r="K385" s="4" t="s">
        <v>526</v>
      </c>
      <c r="L385" t="s">
        <v>186</v>
      </c>
      <c r="M385" s="4" t="s">
        <v>178</v>
      </c>
    </row>
    <row r="386" spans="7:13">
      <c r="G386" s="1" t="s">
        <v>187</v>
      </c>
      <c r="H386" s="1" t="s">
        <v>46</v>
      </c>
      <c r="I386" s="3">
        <v>0.3</v>
      </c>
      <c r="J386" s="3">
        <v>32000</v>
      </c>
      <c r="K386" s="4" t="s">
        <v>527</v>
      </c>
      <c r="L386" t="s">
        <v>188</v>
      </c>
      <c r="M386" s="4" t="s">
        <v>178</v>
      </c>
    </row>
    <row r="387" spans="7:13">
      <c r="G387" s="1" t="s">
        <v>189</v>
      </c>
      <c r="H387" s="1" t="s">
        <v>46</v>
      </c>
      <c r="I387" s="3">
        <v>0.3</v>
      </c>
      <c r="J387" s="3">
        <v>32800</v>
      </c>
      <c r="K387" s="4" t="s">
        <v>528</v>
      </c>
      <c r="L387" t="s">
        <v>190</v>
      </c>
      <c r="M387" s="4" t="s">
        <v>178</v>
      </c>
    </row>
    <row r="388" spans="7:13">
      <c r="G388" s="1" t="s">
        <v>191</v>
      </c>
      <c r="H388" s="1" t="s">
        <v>46</v>
      </c>
      <c r="I388" s="3">
        <v>0.3</v>
      </c>
      <c r="J388" s="3">
        <v>33600</v>
      </c>
      <c r="K388" s="4" t="s">
        <v>529</v>
      </c>
      <c r="L388" t="s">
        <v>192</v>
      </c>
      <c r="M388" s="4" t="s">
        <v>178</v>
      </c>
    </row>
    <row r="389" spans="7:13">
      <c r="G389" s="1" t="s">
        <v>193</v>
      </c>
      <c r="H389" s="1" t="s">
        <v>46</v>
      </c>
      <c r="I389" s="3">
        <v>0.3</v>
      </c>
      <c r="J389" s="3">
        <v>34400</v>
      </c>
      <c r="K389" s="4" t="s">
        <v>530</v>
      </c>
      <c r="L389" t="s">
        <v>194</v>
      </c>
      <c r="M389" s="4" t="s">
        <v>178</v>
      </c>
    </row>
    <row r="390" spans="7:13">
      <c r="G390" s="1" t="s">
        <v>195</v>
      </c>
      <c r="H390" s="1" t="s">
        <v>46</v>
      </c>
      <c r="I390" s="3">
        <v>0.3</v>
      </c>
      <c r="J390" s="3">
        <v>35200</v>
      </c>
      <c r="K390" s="4" t="s">
        <v>531</v>
      </c>
      <c r="L390" t="s">
        <v>196</v>
      </c>
      <c r="M390" s="4" t="s">
        <v>178</v>
      </c>
    </row>
    <row r="391" spans="7:13">
      <c r="G391" s="1" t="s">
        <v>197</v>
      </c>
      <c r="H391" s="1" t="s">
        <v>46</v>
      </c>
      <c r="I391" s="3">
        <v>0.3</v>
      </c>
      <c r="J391" s="3">
        <v>36000</v>
      </c>
      <c r="K391" s="4" t="s">
        <v>532</v>
      </c>
      <c r="L391" t="s">
        <v>198</v>
      </c>
      <c r="M391" s="4" t="s">
        <v>199</v>
      </c>
    </row>
    <row r="392" spans="7:13">
      <c r="G392" s="1" t="s">
        <v>200</v>
      </c>
      <c r="H392" s="1" t="s">
        <v>48</v>
      </c>
      <c r="I392" s="3">
        <v>0.2</v>
      </c>
      <c r="J392" s="3">
        <v>36900</v>
      </c>
      <c r="K392" s="4" t="s">
        <v>533</v>
      </c>
      <c r="L392" t="s">
        <v>201</v>
      </c>
      <c r="M392" s="4" t="s">
        <v>199</v>
      </c>
    </row>
    <row r="393" spans="7:13">
      <c r="G393" s="1" t="s">
        <v>202</v>
      </c>
      <c r="H393" s="1" t="s">
        <v>48</v>
      </c>
      <c r="I393" s="3">
        <v>0.2</v>
      </c>
      <c r="J393" s="3">
        <v>37800</v>
      </c>
      <c r="K393" s="4" t="s">
        <v>534</v>
      </c>
      <c r="L393" t="s">
        <v>203</v>
      </c>
      <c r="M393" s="4" t="s">
        <v>199</v>
      </c>
    </row>
    <row r="394" spans="7:13">
      <c r="G394" s="1" t="s">
        <v>204</v>
      </c>
      <c r="H394" s="1" t="s">
        <v>48</v>
      </c>
      <c r="I394" s="3">
        <v>0.2</v>
      </c>
      <c r="J394" s="3">
        <v>38700</v>
      </c>
      <c r="K394" s="4" t="s">
        <v>535</v>
      </c>
      <c r="L394" t="s">
        <v>205</v>
      </c>
      <c r="M394" s="4" t="s">
        <v>199</v>
      </c>
    </row>
    <row r="395" spans="7:13">
      <c r="G395" s="1" t="s">
        <v>206</v>
      </c>
      <c r="H395" s="1" t="s">
        <v>48</v>
      </c>
      <c r="I395" s="3">
        <v>0.2</v>
      </c>
      <c r="J395" s="3">
        <v>39600</v>
      </c>
      <c r="K395" s="4" t="s">
        <v>536</v>
      </c>
      <c r="L395" t="s">
        <v>207</v>
      </c>
      <c r="M395" s="4" t="s">
        <v>199</v>
      </c>
    </row>
    <row r="396" spans="7:13">
      <c r="G396" s="1" t="s">
        <v>208</v>
      </c>
      <c r="H396" s="1" t="s">
        <v>48</v>
      </c>
      <c r="I396" s="3">
        <v>0.2</v>
      </c>
      <c r="J396" s="3">
        <v>40500</v>
      </c>
      <c r="K396" s="4" t="s">
        <v>537</v>
      </c>
      <c r="L396" t="s">
        <v>209</v>
      </c>
      <c r="M396" s="4" t="s">
        <v>199</v>
      </c>
    </row>
    <row r="397" spans="7:13">
      <c r="G397" s="1" t="s">
        <v>210</v>
      </c>
      <c r="H397" s="1" t="s">
        <v>48</v>
      </c>
      <c r="I397" s="3">
        <v>0.2</v>
      </c>
      <c r="J397" s="3">
        <v>41400</v>
      </c>
      <c r="K397" s="4" t="s">
        <v>538</v>
      </c>
      <c r="L397" t="s">
        <v>211</v>
      </c>
      <c r="M397" s="4" t="s">
        <v>199</v>
      </c>
    </row>
    <row r="398" spans="7:13">
      <c r="G398" s="1" t="s">
        <v>212</v>
      </c>
      <c r="H398" s="1" t="s">
        <v>48</v>
      </c>
      <c r="I398" s="3">
        <v>0.2</v>
      </c>
      <c r="J398" s="3">
        <v>42300</v>
      </c>
      <c r="K398" s="4" t="s">
        <v>539</v>
      </c>
      <c r="L398" t="s">
        <v>213</v>
      </c>
      <c r="M398" s="4" t="s">
        <v>199</v>
      </c>
    </row>
    <row r="399" spans="7:13">
      <c r="G399" s="1" t="s">
        <v>214</v>
      </c>
      <c r="H399" s="1" t="s">
        <v>48</v>
      </c>
      <c r="I399" s="3">
        <v>0.2</v>
      </c>
      <c r="J399" s="3">
        <v>43200</v>
      </c>
      <c r="K399" s="4" t="s">
        <v>540</v>
      </c>
      <c r="L399" t="s">
        <v>215</v>
      </c>
      <c r="M399" s="4" t="s">
        <v>199</v>
      </c>
    </row>
    <row r="400" spans="7:13">
      <c r="G400" s="1" t="s">
        <v>216</v>
      </c>
      <c r="H400" s="1" t="s">
        <v>48</v>
      </c>
      <c r="I400" s="3">
        <v>0.2</v>
      </c>
      <c r="J400" s="3">
        <v>44100</v>
      </c>
      <c r="K400" s="4" t="s">
        <v>541</v>
      </c>
      <c r="L400" t="s">
        <v>217</v>
      </c>
      <c r="M400" s="4" t="s">
        <v>199</v>
      </c>
    </row>
    <row r="401" spans="2:13">
      <c r="G401" s="1" t="s">
        <v>218</v>
      </c>
      <c r="H401" s="1" t="s">
        <v>48</v>
      </c>
      <c r="I401" s="3">
        <v>0.2</v>
      </c>
      <c r="J401" s="3">
        <v>45000</v>
      </c>
      <c r="K401" s="4" t="s">
        <v>542</v>
      </c>
      <c r="L401" t="s">
        <v>219</v>
      </c>
      <c r="M401" s="4" t="s">
        <v>220</v>
      </c>
    </row>
    <row r="402" spans="2:13">
      <c r="G402" s="1" t="s">
        <v>221</v>
      </c>
      <c r="H402" s="1" t="s">
        <v>50</v>
      </c>
      <c r="I402" s="3">
        <v>0.1</v>
      </c>
      <c r="J402" s="3">
        <v>46000</v>
      </c>
      <c r="K402" s="4" t="s">
        <v>543</v>
      </c>
      <c r="L402" t="s">
        <v>222</v>
      </c>
      <c r="M402" s="4" t="s">
        <v>220</v>
      </c>
    </row>
    <row r="403" spans="2:13">
      <c r="G403" s="1" t="s">
        <v>223</v>
      </c>
      <c r="H403" s="1" t="s">
        <v>50</v>
      </c>
      <c r="I403" s="3">
        <v>0.1</v>
      </c>
      <c r="J403" s="3">
        <v>47000</v>
      </c>
      <c r="K403" s="4" t="s">
        <v>544</v>
      </c>
      <c r="L403" t="s">
        <v>224</v>
      </c>
      <c r="M403" s="4" t="s">
        <v>220</v>
      </c>
    </row>
    <row r="404" spans="2:13">
      <c r="G404" s="1" t="s">
        <v>225</v>
      </c>
      <c r="H404" s="1" t="s">
        <v>50</v>
      </c>
      <c r="I404" s="3">
        <v>0.1</v>
      </c>
      <c r="J404" s="3">
        <v>48000</v>
      </c>
      <c r="K404" s="4" t="s">
        <v>545</v>
      </c>
      <c r="L404" t="s">
        <v>226</v>
      </c>
      <c r="M404" s="4" t="s">
        <v>220</v>
      </c>
    </row>
    <row r="405" spans="2:13">
      <c r="G405" s="1" t="s">
        <v>227</v>
      </c>
      <c r="H405" s="1" t="s">
        <v>50</v>
      </c>
      <c r="I405" s="3">
        <v>0.1</v>
      </c>
      <c r="J405" s="3">
        <v>49000</v>
      </c>
      <c r="K405" s="4" t="s">
        <v>546</v>
      </c>
      <c r="L405" t="s">
        <v>228</v>
      </c>
      <c r="M405" s="4" t="s">
        <v>220</v>
      </c>
    </row>
    <row r="406" spans="2:13">
      <c r="G406" s="1" t="s">
        <v>229</v>
      </c>
      <c r="H406" s="1" t="s">
        <v>50</v>
      </c>
      <c r="I406" s="3">
        <v>0.1</v>
      </c>
      <c r="J406" s="3">
        <v>50000</v>
      </c>
      <c r="K406" s="4" t="s">
        <v>547</v>
      </c>
      <c r="L406" t="s">
        <v>230</v>
      </c>
      <c r="M406" s="4" t="s">
        <v>220</v>
      </c>
    </row>
    <row r="407" spans="2:13">
      <c r="G407" s="1" t="s">
        <v>231</v>
      </c>
      <c r="H407" s="1" t="s">
        <v>50</v>
      </c>
      <c r="I407" s="3">
        <v>0.1</v>
      </c>
      <c r="J407" s="3">
        <v>51000</v>
      </c>
      <c r="K407" s="4" t="s">
        <v>548</v>
      </c>
      <c r="L407" t="s">
        <v>232</v>
      </c>
      <c r="M407" s="4" t="s">
        <v>220</v>
      </c>
    </row>
    <row r="408" spans="2:13">
      <c r="G408" s="1" t="s">
        <v>233</v>
      </c>
      <c r="H408" s="1" t="s">
        <v>50</v>
      </c>
      <c r="I408" s="3">
        <v>0.1</v>
      </c>
      <c r="J408" s="3">
        <v>52000</v>
      </c>
      <c r="K408" s="4" t="s">
        <v>549</v>
      </c>
      <c r="L408" t="s">
        <v>234</v>
      </c>
      <c r="M408" s="4" t="s">
        <v>220</v>
      </c>
    </row>
    <row r="409" spans="2:13">
      <c r="G409" s="1" t="s">
        <v>235</v>
      </c>
      <c r="H409" s="1" t="s">
        <v>50</v>
      </c>
      <c r="I409" s="3">
        <v>0.1</v>
      </c>
      <c r="J409" s="3">
        <v>53000</v>
      </c>
      <c r="K409" s="4" t="s">
        <v>550</v>
      </c>
      <c r="L409" t="s">
        <v>236</v>
      </c>
      <c r="M409" s="4" t="s">
        <v>220</v>
      </c>
    </row>
    <row r="410" spans="2:13">
      <c r="G410" s="1" t="s">
        <v>237</v>
      </c>
      <c r="H410" s="1" t="s">
        <v>50</v>
      </c>
      <c r="I410" s="3">
        <v>0.1</v>
      </c>
      <c r="J410" s="3">
        <v>54000</v>
      </c>
      <c r="K410" s="4" t="s">
        <v>551</v>
      </c>
      <c r="L410" t="s">
        <v>238</v>
      </c>
      <c r="M410" s="4" t="s">
        <v>220</v>
      </c>
    </row>
    <row r="411" spans="2:13">
      <c r="G411" s="1" t="s">
        <v>239</v>
      </c>
      <c r="H411" s="1" t="s">
        <v>50</v>
      </c>
      <c r="I411" s="3">
        <v>0.1</v>
      </c>
      <c r="J411" s="3">
        <v>55000</v>
      </c>
      <c r="K411" s="4" t="s">
        <v>552</v>
      </c>
      <c r="L411" t="s">
        <v>240</v>
      </c>
      <c r="M411" s="4"/>
    </row>
    <row r="413" spans="2:13">
      <c r="B413" s="1" t="s">
        <v>553</v>
      </c>
      <c r="C413" s="1" t="s">
        <v>554</v>
      </c>
      <c r="D413" s="1" t="s">
        <v>555</v>
      </c>
      <c r="E413" s="1" t="s">
        <v>556</v>
      </c>
      <c r="G413" s="1" t="s">
        <v>30</v>
      </c>
      <c r="H413" s="1" t="s">
        <v>31</v>
      </c>
      <c r="I413" s="1" t="s">
        <v>31</v>
      </c>
      <c r="J413" s="1" t="s">
        <v>30</v>
      </c>
      <c r="M413" s="4" t="s">
        <v>32</v>
      </c>
    </row>
    <row r="414" spans="2:13">
      <c r="G414" s="1" t="s">
        <v>31</v>
      </c>
      <c r="H414" s="1" t="s">
        <v>31</v>
      </c>
      <c r="I414" s="3">
        <v>1</v>
      </c>
      <c r="J414" s="3">
        <v>100</v>
      </c>
      <c r="K414" s="4" t="s">
        <v>557</v>
      </c>
      <c r="L414" t="s">
        <v>33</v>
      </c>
      <c r="M414" s="4" t="s">
        <v>32</v>
      </c>
    </row>
    <row r="415" spans="2:13">
      <c r="G415" s="1" t="s">
        <v>34</v>
      </c>
      <c r="H415" s="1" t="s">
        <v>31</v>
      </c>
      <c r="I415" s="3">
        <v>1</v>
      </c>
      <c r="J415" s="3">
        <v>200</v>
      </c>
      <c r="K415" s="4" t="s">
        <v>558</v>
      </c>
      <c r="L415" t="s">
        <v>35</v>
      </c>
      <c r="M415" s="4" t="s">
        <v>32</v>
      </c>
    </row>
    <row r="416" spans="2:13">
      <c r="G416" s="1" t="s">
        <v>36</v>
      </c>
      <c r="H416" s="1" t="s">
        <v>31</v>
      </c>
      <c r="I416" s="3">
        <v>1</v>
      </c>
      <c r="J416" s="3">
        <v>300</v>
      </c>
      <c r="K416" s="4" t="s">
        <v>559</v>
      </c>
      <c r="L416" t="s">
        <v>37</v>
      </c>
      <c r="M416" s="4" t="s">
        <v>32</v>
      </c>
    </row>
    <row r="417" spans="7:13">
      <c r="G417" s="1" t="s">
        <v>38</v>
      </c>
      <c r="H417" s="1" t="s">
        <v>31</v>
      </c>
      <c r="I417" s="3">
        <v>1</v>
      </c>
      <c r="J417" s="3">
        <v>400</v>
      </c>
      <c r="K417" s="4" t="s">
        <v>560</v>
      </c>
      <c r="L417" t="s">
        <v>39</v>
      </c>
      <c r="M417" s="4" t="s">
        <v>32</v>
      </c>
    </row>
    <row r="418" spans="7:13">
      <c r="G418" s="1" t="s">
        <v>40</v>
      </c>
      <c r="H418" s="1" t="s">
        <v>31</v>
      </c>
      <c r="I418" s="3">
        <v>1</v>
      </c>
      <c r="J418" s="3">
        <v>500</v>
      </c>
      <c r="K418" s="4" t="s">
        <v>561</v>
      </c>
      <c r="L418" t="s">
        <v>41</v>
      </c>
      <c r="M418" s="4" t="s">
        <v>32</v>
      </c>
    </row>
    <row r="419" spans="7:13">
      <c r="G419" s="1" t="s">
        <v>42</v>
      </c>
      <c r="H419" s="1" t="s">
        <v>31</v>
      </c>
      <c r="I419" s="3">
        <v>1</v>
      </c>
      <c r="J419" s="3">
        <v>600</v>
      </c>
      <c r="K419" s="4" t="s">
        <v>562</v>
      </c>
      <c r="L419" t="s">
        <v>43</v>
      </c>
      <c r="M419" s="4" t="s">
        <v>32</v>
      </c>
    </row>
    <row r="420" spans="7:13">
      <c r="G420" s="1" t="s">
        <v>44</v>
      </c>
      <c r="H420" s="1" t="s">
        <v>31</v>
      </c>
      <c r="I420" s="3">
        <v>1</v>
      </c>
      <c r="J420" s="3">
        <v>700</v>
      </c>
      <c r="K420" s="4" t="s">
        <v>563</v>
      </c>
      <c r="L420" t="s">
        <v>45</v>
      </c>
      <c r="M420" s="4" t="s">
        <v>32</v>
      </c>
    </row>
    <row r="421" spans="7:13">
      <c r="G421" s="1" t="s">
        <v>46</v>
      </c>
      <c r="H421" s="1" t="s">
        <v>31</v>
      </c>
      <c r="I421" s="3">
        <v>1</v>
      </c>
      <c r="J421" s="3">
        <v>800</v>
      </c>
      <c r="K421" s="4" t="s">
        <v>564</v>
      </c>
      <c r="L421" t="s">
        <v>47</v>
      </c>
      <c r="M421" s="4" t="s">
        <v>32</v>
      </c>
    </row>
    <row r="422" spans="7:13">
      <c r="G422" s="1" t="s">
        <v>48</v>
      </c>
      <c r="H422" s="1" t="s">
        <v>31</v>
      </c>
      <c r="I422" s="3">
        <v>1</v>
      </c>
      <c r="J422" s="3">
        <v>900</v>
      </c>
      <c r="K422" s="4" t="s">
        <v>565</v>
      </c>
      <c r="L422" t="s">
        <v>49</v>
      </c>
      <c r="M422" s="4" t="s">
        <v>32</v>
      </c>
    </row>
    <row r="423" spans="7:13">
      <c r="G423" s="1" t="s">
        <v>50</v>
      </c>
      <c r="H423" s="1" t="s">
        <v>31</v>
      </c>
      <c r="I423" s="3">
        <v>1</v>
      </c>
      <c r="J423" s="3">
        <v>1000</v>
      </c>
      <c r="K423" s="4" t="s">
        <v>566</v>
      </c>
      <c r="L423" t="s">
        <v>51</v>
      </c>
      <c r="M423" s="4" t="s">
        <v>52</v>
      </c>
    </row>
    <row r="424" spans="7:13">
      <c r="G424" s="1" t="s">
        <v>53</v>
      </c>
      <c r="H424" s="1" t="s">
        <v>34</v>
      </c>
      <c r="I424" s="3">
        <v>0.9</v>
      </c>
      <c r="J424" s="3">
        <v>1200</v>
      </c>
      <c r="K424" s="4" t="s">
        <v>567</v>
      </c>
      <c r="L424" t="s">
        <v>54</v>
      </c>
      <c r="M424" s="4" t="s">
        <v>52</v>
      </c>
    </row>
    <row r="425" spans="7:13">
      <c r="G425" s="1" t="s">
        <v>55</v>
      </c>
      <c r="H425" s="1" t="s">
        <v>34</v>
      </c>
      <c r="I425" s="3">
        <v>0.9</v>
      </c>
      <c r="J425" s="3">
        <v>1400</v>
      </c>
      <c r="K425" s="4" t="s">
        <v>568</v>
      </c>
      <c r="L425" t="s">
        <v>56</v>
      </c>
      <c r="M425" s="4" t="s">
        <v>52</v>
      </c>
    </row>
    <row r="426" spans="7:13">
      <c r="G426" s="1" t="s">
        <v>57</v>
      </c>
      <c r="H426" s="1" t="s">
        <v>34</v>
      </c>
      <c r="I426" s="3">
        <v>0.9</v>
      </c>
      <c r="J426" s="3">
        <v>1600</v>
      </c>
      <c r="K426" s="4" t="s">
        <v>569</v>
      </c>
      <c r="L426" t="s">
        <v>58</v>
      </c>
      <c r="M426" s="4" t="s">
        <v>52</v>
      </c>
    </row>
    <row r="427" spans="7:13">
      <c r="G427" s="1" t="s">
        <v>59</v>
      </c>
      <c r="H427" s="1" t="s">
        <v>34</v>
      </c>
      <c r="I427" s="3">
        <v>0.9</v>
      </c>
      <c r="J427" s="3">
        <v>1800</v>
      </c>
      <c r="K427" s="4" t="s">
        <v>570</v>
      </c>
      <c r="L427" t="s">
        <v>60</v>
      </c>
      <c r="M427" s="4" t="s">
        <v>52</v>
      </c>
    </row>
    <row r="428" spans="7:13">
      <c r="G428" s="1" t="s">
        <v>61</v>
      </c>
      <c r="H428" s="1" t="s">
        <v>34</v>
      </c>
      <c r="I428" s="3">
        <v>0.9</v>
      </c>
      <c r="J428" s="3">
        <v>2000</v>
      </c>
      <c r="K428" s="4" t="s">
        <v>571</v>
      </c>
      <c r="L428" t="s">
        <v>62</v>
      </c>
      <c r="M428" s="4" t="s">
        <v>52</v>
      </c>
    </row>
    <row r="429" spans="7:13">
      <c r="G429" s="1" t="s">
        <v>63</v>
      </c>
      <c r="H429" s="1" t="s">
        <v>34</v>
      </c>
      <c r="I429" s="3">
        <v>0.9</v>
      </c>
      <c r="J429" s="3">
        <v>2200</v>
      </c>
      <c r="K429" s="4" t="s">
        <v>572</v>
      </c>
      <c r="L429" t="s">
        <v>64</v>
      </c>
      <c r="M429" s="4" t="s">
        <v>52</v>
      </c>
    </row>
    <row r="430" spans="7:13">
      <c r="G430" s="1" t="s">
        <v>65</v>
      </c>
      <c r="H430" s="1" t="s">
        <v>34</v>
      </c>
      <c r="I430" s="3">
        <v>0.9</v>
      </c>
      <c r="J430" s="3">
        <v>2400</v>
      </c>
      <c r="K430" s="4" t="s">
        <v>573</v>
      </c>
      <c r="L430" t="s">
        <v>66</v>
      </c>
      <c r="M430" s="4" t="s">
        <v>52</v>
      </c>
    </row>
    <row r="431" spans="7:13">
      <c r="G431" s="1" t="s">
        <v>67</v>
      </c>
      <c r="H431" s="1" t="s">
        <v>34</v>
      </c>
      <c r="I431" s="3">
        <v>0.9</v>
      </c>
      <c r="J431" s="3">
        <v>2600</v>
      </c>
      <c r="K431" s="4" t="s">
        <v>574</v>
      </c>
      <c r="L431" t="s">
        <v>68</v>
      </c>
      <c r="M431" s="4" t="s">
        <v>52</v>
      </c>
    </row>
    <row r="432" spans="7:13">
      <c r="G432" s="1" t="s">
        <v>69</v>
      </c>
      <c r="H432" s="1" t="s">
        <v>34</v>
      </c>
      <c r="I432" s="3">
        <v>0.9</v>
      </c>
      <c r="J432" s="3">
        <v>2800</v>
      </c>
      <c r="K432" s="4" t="s">
        <v>575</v>
      </c>
      <c r="L432" t="s">
        <v>70</v>
      </c>
      <c r="M432" s="4" t="s">
        <v>52</v>
      </c>
    </row>
    <row r="433" spans="7:13">
      <c r="G433" s="1" t="s">
        <v>71</v>
      </c>
      <c r="H433" s="1" t="s">
        <v>34</v>
      </c>
      <c r="I433" s="3">
        <v>0.9</v>
      </c>
      <c r="J433" s="3">
        <v>3000</v>
      </c>
      <c r="K433" s="4" t="s">
        <v>576</v>
      </c>
      <c r="L433" t="s">
        <v>72</v>
      </c>
      <c r="M433" s="4" t="s">
        <v>73</v>
      </c>
    </row>
    <row r="434" spans="7:13">
      <c r="G434" s="1" t="s">
        <v>74</v>
      </c>
      <c r="H434" s="1" t="s">
        <v>36</v>
      </c>
      <c r="I434" s="3">
        <v>0.8</v>
      </c>
      <c r="J434" s="3">
        <v>3300</v>
      </c>
      <c r="K434" s="4" t="s">
        <v>577</v>
      </c>
      <c r="L434" t="s">
        <v>75</v>
      </c>
      <c r="M434" s="4" t="s">
        <v>73</v>
      </c>
    </row>
    <row r="435" spans="7:13">
      <c r="G435" s="1" t="s">
        <v>76</v>
      </c>
      <c r="H435" s="1" t="s">
        <v>36</v>
      </c>
      <c r="I435" s="3">
        <v>0.8</v>
      </c>
      <c r="J435" s="3">
        <v>3600</v>
      </c>
      <c r="K435" s="4" t="s">
        <v>578</v>
      </c>
      <c r="L435" t="s">
        <v>77</v>
      </c>
      <c r="M435" s="4" t="s">
        <v>73</v>
      </c>
    </row>
    <row r="436" spans="7:13">
      <c r="G436" s="1" t="s">
        <v>78</v>
      </c>
      <c r="H436" s="1" t="s">
        <v>36</v>
      </c>
      <c r="I436" s="3">
        <v>0.8</v>
      </c>
      <c r="J436" s="3">
        <v>3900</v>
      </c>
      <c r="K436" s="4" t="s">
        <v>579</v>
      </c>
      <c r="L436" t="s">
        <v>79</v>
      </c>
      <c r="M436" s="4" t="s">
        <v>73</v>
      </c>
    </row>
    <row r="437" spans="7:13">
      <c r="G437" s="1" t="s">
        <v>80</v>
      </c>
      <c r="H437" s="1" t="s">
        <v>36</v>
      </c>
      <c r="I437" s="3">
        <v>0.8</v>
      </c>
      <c r="J437" s="3">
        <v>4200</v>
      </c>
      <c r="K437" s="4" t="s">
        <v>580</v>
      </c>
      <c r="L437" t="s">
        <v>81</v>
      </c>
      <c r="M437" s="4" t="s">
        <v>73</v>
      </c>
    </row>
    <row r="438" spans="7:13">
      <c r="G438" s="1" t="s">
        <v>82</v>
      </c>
      <c r="H438" s="1" t="s">
        <v>36</v>
      </c>
      <c r="I438" s="3">
        <v>0.8</v>
      </c>
      <c r="J438" s="3">
        <v>4500</v>
      </c>
      <c r="K438" s="4" t="s">
        <v>581</v>
      </c>
      <c r="L438" t="s">
        <v>83</v>
      </c>
      <c r="M438" s="4" t="s">
        <v>73</v>
      </c>
    </row>
    <row r="439" spans="7:13">
      <c r="G439" s="1" t="s">
        <v>84</v>
      </c>
      <c r="H439" s="1" t="s">
        <v>36</v>
      </c>
      <c r="I439" s="3">
        <v>0.8</v>
      </c>
      <c r="J439" s="3">
        <v>4800</v>
      </c>
      <c r="K439" s="4" t="s">
        <v>582</v>
      </c>
      <c r="L439" t="s">
        <v>85</v>
      </c>
      <c r="M439" s="4" t="s">
        <v>73</v>
      </c>
    </row>
    <row r="440" spans="7:13">
      <c r="G440" s="1" t="s">
        <v>86</v>
      </c>
      <c r="H440" s="1" t="s">
        <v>36</v>
      </c>
      <c r="I440" s="3">
        <v>0.8</v>
      </c>
      <c r="J440" s="3">
        <v>5100</v>
      </c>
      <c r="K440" s="4" t="s">
        <v>583</v>
      </c>
      <c r="L440" t="s">
        <v>87</v>
      </c>
      <c r="M440" s="4" t="s">
        <v>73</v>
      </c>
    </row>
    <row r="441" spans="7:13">
      <c r="G441" s="1" t="s">
        <v>88</v>
      </c>
      <c r="H441" s="1" t="s">
        <v>36</v>
      </c>
      <c r="I441" s="3">
        <v>0.8</v>
      </c>
      <c r="J441" s="3">
        <v>5400</v>
      </c>
      <c r="K441" s="4" t="s">
        <v>584</v>
      </c>
      <c r="L441" t="s">
        <v>89</v>
      </c>
      <c r="M441" s="4" t="s">
        <v>73</v>
      </c>
    </row>
    <row r="442" spans="7:13">
      <c r="G442" s="1" t="s">
        <v>90</v>
      </c>
      <c r="H442" s="1" t="s">
        <v>36</v>
      </c>
      <c r="I442" s="3">
        <v>0.8</v>
      </c>
      <c r="J442" s="3">
        <v>5700</v>
      </c>
      <c r="K442" s="4" t="s">
        <v>585</v>
      </c>
      <c r="L442" t="s">
        <v>91</v>
      </c>
      <c r="M442" s="4" t="s">
        <v>73</v>
      </c>
    </row>
    <row r="443" spans="7:13">
      <c r="G443" s="1" t="s">
        <v>92</v>
      </c>
      <c r="H443" s="1" t="s">
        <v>36</v>
      </c>
      <c r="I443" s="3">
        <v>0.8</v>
      </c>
      <c r="J443" s="3">
        <v>6000</v>
      </c>
      <c r="K443" s="4" t="s">
        <v>586</v>
      </c>
      <c r="L443" t="s">
        <v>93</v>
      </c>
      <c r="M443" s="4" t="s">
        <v>94</v>
      </c>
    </row>
    <row r="444" spans="7:13">
      <c r="G444" s="1" t="s">
        <v>95</v>
      </c>
      <c r="H444" s="1" t="s">
        <v>38</v>
      </c>
      <c r="I444" s="3">
        <v>0.7</v>
      </c>
      <c r="J444" s="3">
        <v>6400</v>
      </c>
      <c r="K444" s="4" t="s">
        <v>587</v>
      </c>
      <c r="L444" t="s">
        <v>96</v>
      </c>
      <c r="M444" s="4" t="s">
        <v>94</v>
      </c>
    </row>
    <row r="445" spans="7:13">
      <c r="G445" s="1" t="s">
        <v>97</v>
      </c>
      <c r="H445" s="1" t="s">
        <v>38</v>
      </c>
      <c r="I445" s="3">
        <v>0.7</v>
      </c>
      <c r="J445" s="3">
        <v>6800</v>
      </c>
      <c r="K445" s="4" t="s">
        <v>588</v>
      </c>
      <c r="L445" t="s">
        <v>98</v>
      </c>
      <c r="M445" s="4" t="s">
        <v>94</v>
      </c>
    </row>
    <row r="446" spans="7:13">
      <c r="G446" s="1" t="s">
        <v>99</v>
      </c>
      <c r="H446" s="1" t="s">
        <v>38</v>
      </c>
      <c r="I446" s="3">
        <v>0.7</v>
      </c>
      <c r="J446" s="3">
        <v>7200</v>
      </c>
      <c r="K446" s="4" t="s">
        <v>589</v>
      </c>
      <c r="L446" t="s">
        <v>100</v>
      </c>
      <c r="M446" s="4" t="s">
        <v>94</v>
      </c>
    </row>
    <row r="447" spans="7:13">
      <c r="G447" s="1" t="s">
        <v>101</v>
      </c>
      <c r="H447" s="1" t="s">
        <v>38</v>
      </c>
      <c r="I447" s="3">
        <v>0.7</v>
      </c>
      <c r="J447" s="3">
        <v>7600</v>
      </c>
      <c r="K447" s="4" t="s">
        <v>590</v>
      </c>
      <c r="L447" t="s">
        <v>102</v>
      </c>
      <c r="M447" s="4" t="s">
        <v>94</v>
      </c>
    </row>
    <row r="448" spans="7:13">
      <c r="G448" s="1" t="s">
        <v>103</v>
      </c>
      <c r="H448" s="1" t="s">
        <v>38</v>
      </c>
      <c r="I448" s="3">
        <v>0.7</v>
      </c>
      <c r="J448" s="3">
        <v>8000</v>
      </c>
      <c r="K448" s="4" t="s">
        <v>591</v>
      </c>
      <c r="L448" t="s">
        <v>104</v>
      </c>
      <c r="M448" s="4" t="s">
        <v>94</v>
      </c>
    </row>
    <row r="449" spans="7:13">
      <c r="G449" s="1" t="s">
        <v>105</v>
      </c>
      <c r="H449" s="1" t="s">
        <v>38</v>
      </c>
      <c r="I449" s="3">
        <v>0.7</v>
      </c>
      <c r="J449" s="3">
        <v>8400</v>
      </c>
      <c r="K449" s="4" t="s">
        <v>592</v>
      </c>
      <c r="L449" t="s">
        <v>106</v>
      </c>
      <c r="M449" s="4" t="s">
        <v>94</v>
      </c>
    </row>
    <row r="450" spans="7:13">
      <c r="G450" s="1" t="s">
        <v>107</v>
      </c>
      <c r="H450" s="1" t="s">
        <v>38</v>
      </c>
      <c r="I450" s="3">
        <v>0.7</v>
      </c>
      <c r="J450" s="3">
        <v>8800</v>
      </c>
      <c r="K450" s="4" t="s">
        <v>593</v>
      </c>
      <c r="L450" t="s">
        <v>108</v>
      </c>
      <c r="M450" s="4" t="s">
        <v>94</v>
      </c>
    </row>
    <row r="451" spans="7:13">
      <c r="G451" s="1" t="s">
        <v>109</v>
      </c>
      <c r="H451" s="1" t="s">
        <v>38</v>
      </c>
      <c r="I451" s="3">
        <v>0.7</v>
      </c>
      <c r="J451" s="3">
        <v>9200</v>
      </c>
      <c r="K451" s="4" t="s">
        <v>594</v>
      </c>
      <c r="L451" t="s">
        <v>110</v>
      </c>
      <c r="M451" s="4" t="s">
        <v>94</v>
      </c>
    </row>
    <row r="452" spans="7:13">
      <c r="G452" s="1" t="s">
        <v>111</v>
      </c>
      <c r="H452" s="1" t="s">
        <v>38</v>
      </c>
      <c r="I452" s="3">
        <v>0.7</v>
      </c>
      <c r="J452" s="3">
        <v>9600</v>
      </c>
      <c r="K452" s="4" t="s">
        <v>595</v>
      </c>
      <c r="L452" t="s">
        <v>112</v>
      </c>
      <c r="M452" s="4" t="s">
        <v>94</v>
      </c>
    </row>
    <row r="453" spans="7:13">
      <c r="G453" s="1" t="s">
        <v>113</v>
      </c>
      <c r="H453" s="1" t="s">
        <v>38</v>
      </c>
      <c r="I453" s="3">
        <v>0.7</v>
      </c>
      <c r="J453" s="3">
        <v>10000</v>
      </c>
      <c r="K453" s="4" t="s">
        <v>596</v>
      </c>
      <c r="L453" t="s">
        <v>114</v>
      </c>
      <c r="M453" s="4" t="s">
        <v>115</v>
      </c>
    </row>
    <row r="454" spans="7:13">
      <c r="G454" s="1" t="s">
        <v>116</v>
      </c>
      <c r="H454" s="1" t="s">
        <v>40</v>
      </c>
      <c r="I454" s="3">
        <v>0.6</v>
      </c>
      <c r="J454" s="3">
        <v>10500</v>
      </c>
      <c r="K454" s="4" t="s">
        <v>597</v>
      </c>
      <c r="L454" t="s">
        <v>117</v>
      </c>
      <c r="M454" s="4" t="s">
        <v>115</v>
      </c>
    </row>
    <row r="455" spans="7:13">
      <c r="G455" s="1" t="s">
        <v>118</v>
      </c>
      <c r="H455" s="1" t="s">
        <v>40</v>
      </c>
      <c r="I455" s="3">
        <v>0.6</v>
      </c>
      <c r="J455" s="3">
        <v>11000</v>
      </c>
      <c r="K455" s="4" t="s">
        <v>598</v>
      </c>
      <c r="L455" t="s">
        <v>119</v>
      </c>
      <c r="M455" s="4" t="s">
        <v>115</v>
      </c>
    </row>
    <row r="456" spans="7:13">
      <c r="G456" s="1" t="s">
        <v>120</v>
      </c>
      <c r="H456" s="1" t="s">
        <v>40</v>
      </c>
      <c r="I456" s="3">
        <v>0.6</v>
      </c>
      <c r="J456" s="3">
        <v>11500</v>
      </c>
      <c r="K456" s="4" t="s">
        <v>599</v>
      </c>
      <c r="L456" t="s">
        <v>121</v>
      </c>
      <c r="M456" s="4" t="s">
        <v>115</v>
      </c>
    </row>
    <row r="457" spans="7:13">
      <c r="G457" s="1" t="s">
        <v>122</v>
      </c>
      <c r="H457" s="1" t="s">
        <v>40</v>
      </c>
      <c r="I457" s="3">
        <v>0.6</v>
      </c>
      <c r="J457" s="3">
        <v>12000</v>
      </c>
      <c r="K457" s="4" t="s">
        <v>600</v>
      </c>
      <c r="L457" t="s">
        <v>123</v>
      </c>
      <c r="M457" s="4" t="s">
        <v>115</v>
      </c>
    </row>
    <row r="458" spans="7:13">
      <c r="G458" s="1" t="s">
        <v>124</v>
      </c>
      <c r="H458" s="1" t="s">
        <v>40</v>
      </c>
      <c r="I458" s="3">
        <v>0.6</v>
      </c>
      <c r="J458" s="3">
        <v>12500</v>
      </c>
      <c r="K458" s="4" t="s">
        <v>601</v>
      </c>
      <c r="L458" t="s">
        <v>125</v>
      </c>
      <c r="M458" s="4" t="s">
        <v>115</v>
      </c>
    </row>
    <row r="459" spans="7:13">
      <c r="G459" s="1" t="s">
        <v>126</v>
      </c>
      <c r="H459" s="1" t="s">
        <v>40</v>
      </c>
      <c r="I459" s="3">
        <v>0.6</v>
      </c>
      <c r="J459" s="3">
        <v>13000</v>
      </c>
      <c r="K459" s="4" t="s">
        <v>602</v>
      </c>
      <c r="L459" t="s">
        <v>127</v>
      </c>
      <c r="M459" s="4" t="s">
        <v>115</v>
      </c>
    </row>
    <row r="460" spans="7:13">
      <c r="G460" s="1" t="s">
        <v>128</v>
      </c>
      <c r="H460" s="1" t="s">
        <v>40</v>
      </c>
      <c r="I460" s="3">
        <v>0.6</v>
      </c>
      <c r="J460" s="3">
        <v>13500</v>
      </c>
      <c r="K460" s="4" t="s">
        <v>603</v>
      </c>
      <c r="L460" t="s">
        <v>129</v>
      </c>
      <c r="M460" s="4" t="s">
        <v>115</v>
      </c>
    </row>
    <row r="461" spans="7:13">
      <c r="G461" s="1" t="s">
        <v>130</v>
      </c>
      <c r="H461" s="1" t="s">
        <v>40</v>
      </c>
      <c r="I461" s="3">
        <v>0.6</v>
      </c>
      <c r="J461" s="3">
        <v>14000</v>
      </c>
      <c r="K461" s="4" t="s">
        <v>604</v>
      </c>
      <c r="L461" t="s">
        <v>131</v>
      </c>
      <c r="M461" s="4" t="s">
        <v>115</v>
      </c>
    </row>
    <row r="462" spans="7:13">
      <c r="G462" s="1" t="s">
        <v>132</v>
      </c>
      <c r="H462" s="1" t="s">
        <v>40</v>
      </c>
      <c r="I462" s="3">
        <v>0.6</v>
      </c>
      <c r="J462" s="3">
        <v>14500</v>
      </c>
      <c r="K462" s="4" t="s">
        <v>605</v>
      </c>
      <c r="L462" t="s">
        <v>133</v>
      </c>
      <c r="M462" s="4" t="s">
        <v>115</v>
      </c>
    </row>
    <row r="463" spans="7:13">
      <c r="G463" s="1" t="s">
        <v>134</v>
      </c>
      <c r="H463" s="1" t="s">
        <v>40</v>
      </c>
      <c r="I463" s="3">
        <v>0.6</v>
      </c>
      <c r="J463" s="3">
        <v>15000</v>
      </c>
      <c r="K463" s="4" t="s">
        <v>606</v>
      </c>
      <c r="L463" t="s">
        <v>135</v>
      </c>
      <c r="M463" s="4" t="s">
        <v>136</v>
      </c>
    </row>
    <row r="464" spans="7:13">
      <c r="G464" s="1" t="s">
        <v>137</v>
      </c>
      <c r="H464" s="1" t="s">
        <v>42</v>
      </c>
      <c r="I464" s="3">
        <v>0.5</v>
      </c>
      <c r="J464" s="3">
        <v>15600</v>
      </c>
      <c r="K464" s="4" t="s">
        <v>607</v>
      </c>
      <c r="L464" t="s">
        <v>138</v>
      </c>
      <c r="M464" s="4" t="s">
        <v>136</v>
      </c>
    </row>
    <row r="465" spans="7:13">
      <c r="G465" s="1" t="s">
        <v>139</v>
      </c>
      <c r="H465" s="1" t="s">
        <v>42</v>
      </c>
      <c r="I465" s="3">
        <v>0.5</v>
      </c>
      <c r="J465" s="3">
        <v>16200</v>
      </c>
      <c r="K465" s="4" t="s">
        <v>608</v>
      </c>
      <c r="L465" t="s">
        <v>140</v>
      </c>
      <c r="M465" s="4" t="s">
        <v>136</v>
      </c>
    </row>
    <row r="466" spans="7:13">
      <c r="G466" s="1" t="s">
        <v>141</v>
      </c>
      <c r="H466" s="1" t="s">
        <v>42</v>
      </c>
      <c r="I466" s="3">
        <v>0.5</v>
      </c>
      <c r="J466" s="3">
        <v>16800</v>
      </c>
      <c r="K466" s="4" t="s">
        <v>609</v>
      </c>
      <c r="L466" t="s">
        <v>142</v>
      </c>
      <c r="M466" s="4" t="s">
        <v>136</v>
      </c>
    </row>
    <row r="467" spans="7:13">
      <c r="G467" s="1" t="s">
        <v>143</v>
      </c>
      <c r="H467" s="1" t="s">
        <v>42</v>
      </c>
      <c r="I467" s="3">
        <v>0.5</v>
      </c>
      <c r="J467" s="3">
        <v>17400</v>
      </c>
      <c r="K467" s="4" t="s">
        <v>610</v>
      </c>
      <c r="L467" t="s">
        <v>144</v>
      </c>
      <c r="M467" s="4" t="s">
        <v>136</v>
      </c>
    </row>
    <row r="468" spans="7:13">
      <c r="G468" s="1" t="s">
        <v>145</v>
      </c>
      <c r="H468" s="1" t="s">
        <v>42</v>
      </c>
      <c r="I468" s="3">
        <v>0.5</v>
      </c>
      <c r="J468" s="3">
        <v>18000</v>
      </c>
      <c r="K468" s="4" t="s">
        <v>611</v>
      </c>
      <c r="L468" t="s">
        <v>146</v>
      </c>
      <c r="M468" s="4" t="s">
        <v>136</v>
      </c>
    </row>
    <row r="469" spans="7:13">
      <c r="G469" s="1" t="s">
        <v>147</v>
      </c>
      <c r="H469" s="1" t="s">
        <v>42</v>
      </c>
      <c r="I469" s="3">
        <v>0.5</v>
      </c>
      <c r="J469" s="3">
        <v>18600</v>
      </c>
      <c r="K469" s="4" t="s">
        <v>612</v>
      </c>
      <c r="L469" t="s">
        <v>148</v>
      </c>
      <c r="M469" s="4" t="s">
        <v>136</v>
      </c>
    </row>
    <row r="470" spans="7:13">
      <c r="G470" s="1" t="s">
        <v>149</v>
      </c>
      <c r="H470" s="1" t="s">
        <v>42</v>
      </c>
      <c r="I470" s="3">
        <v>0.5</v>
      </c>
      <c r="J470" s="3">
        <v>19200</v>
      </c>
      <c r="K470" s="4" t="s">
        <v>613</v>
      </c>
      <c r="L470" t="s">
        <v>150</v>
      </c>
      <c r="M470" s="4" t="s">
        <v>136</v>
      </c>
    </row>
    <row r="471" spans="7:13">
      <c r="G471" s="1" t="s">
        <v>151</v>
      </c>
      <c r="H471" s="1" t="s">
        <v>42</v>
      </c>
      <c r="I471" s="3">
        <v>0.5</v>
      </c>
      <c r="J471" s="3">
        <v>19800</v>
      </c>
      <c r="K471" s="4" t="s">
        <v>614</v>
      </c>
      <c r="L471" t="s">
        <v>152</v>
      </c>
      <c r="M471" s="4" t="s">
        <v>136</v>
      </c>
    </row>
    <row r="472" spans="7:13">
      <c r="G472" s="1" t="s">
        <v>153</v>
      </c>
      <c r="H472" s="1" t="s">
        <v>42</v>
      </c>
      <c r="I472" s="3">
        <v>0.5</v>
      </c>
      <c r="J472" s="3">
        <v>20400</v>
      </c>
      <c r="K472" s="4" t="s">
        <v>615</v>
      </c>
      <c r="L472" t="s">
        <v>154</v>
      </c>
      <c r="M472" s="4" t="s">
        <v>136</v>
      </c>
    </row>
    <row r="473" spans="7:13">
      <c r="G473" s="1" t="s">
        <v>155</v>
      </c>
      <c r="H473" s="1" t="s">
        <v>42</v>
      </c>
      <c r="I473" s="3">
        <v>0.5</v>
      </c>
      <c r="J473" s="3">
        <v>21000</v>
      </c>
      <c r="K473" s="4" t="s">
        <v>616</v>
      </c>
      <c r="L473" t="s">
        <v>156</v>
      </c>
      <c r="M473" s="4" t="s">
        <v>157</v>
      </c>
    </row>
    <row r="474" spans="7:13">
      <c r="G474" s="1" t="s">
        <v>158</v>
      </c>
      <c r="H474" s="1" t="s">
        <v>44</v>
      </c>
      <c r="I474" s="3">
        <v>0.4</v>
      </c>
      <c r="J474" s="3">
        <v>21700</v>
      </c>
      <c r="K474" s="4" t="s">
        <v>617</v>
      </c>
      <c r="L474" t="s">
        <v>159</v>
      </c>
      <c r="M474" s="4" t="s">
        <v>157</v>
      </c>
    </row>
    <row r="475" spans="7:13">
      <c r="G475" s="1" t="s">
        <v>160</v>
      </c>
      <c r="H475" s="1" t="s">
        <v>44</v>
      </c>
      <c r="I475" s="3">
        <v>0.4</v>
      </c>
      <c r="J475" s="3">
        <v>22400</v>
      </c>
      <c r="K475" s="4" t="s">
        <v>618</v>
      </c>
      <c r="L475" t="s">
        <v>161</v>
      </c>
      <c r="M475" s="4" t="s">
        <v>157</v>
      </c>
    </row>
    <row r="476" spans="7:13">
      <c r="G476" s="1" t="s">
        <v>162</v>
      </c>
      <c r="H476" s="1" t="s">
        <v>44</v>
      </c>
      <c r="I476" s="3">
        <v>0.4</v>
      </c>
      <c r="J476" s="3">
        <v>23100</v>
      </c>
      <c r="K476" s="4" t="s">
        <v>619</v>
      </c>
      <c r="L476" t="s">
        <v>163</v>
      </c>
      <c r="M476" s="4" t="s">
        <v>157</v>
      </c>
    </row>
    <row r="477" spans="7:13">
      <c r="G477" s="1" t="s">
        <v>164</v>
      </c>
      <c r="H477" s="1" t="s">
        <v>44</v>
      </c>
      <c r="I477" s="3">
        <v>0.4</v>
      </c>
      <c r="J477" s="3">
        <v>23800</v>
      </c>
      <c r="K477" s="4" t="s">
        <v>620</v>
      </c>
      <c r="L477" t="s">
        <v>165</v>
      </c>
      <c r="M477" s="4" t="s">
        <v>157</v>
      </c>
    </row>
    <row r="478" spans="7:13">
      <c r="G478" s="1" t="s">
        <v>166</v>
      </c>
      <c r="H478" s="1" t="s">
        <v>44</v>
      </c>
      <c r="I478" s="3">
        <v>0.4</v>
      </c>
      <c r="J478" s="3">
        <v>24500</v>
      </c>
      <c r="K478" s="4" t="s">
        <v>621</v>
      </c>
      <c r="L478" t="s">
        <v>167</v>
      </c>
      <c r="M478" s="4" t="s">
        <v>157</v>
      </c>
    </row>
    <row r="479" spans="7:13">
      <c r="G479" s="1" t="s">
        <v>168</v>
      </c>
      <c r="H479" s="1" t="s">
        <v>44</v>
      </c>
      <c r="I479" s="3">
        <v>0.4</v>
      </c>
      <c r="J479" s="3">
        <v>25200</v>
      </c>
      <c r="K479" s="4" t="s">
        <v>622</v>
      </c>
      <c r="L479" t="s">
        <v>169</v>
      </c>
      <c r="M479" s="4" t="s">
        <v>157</v>
      </c>
    </row>
    <row r="480" spans="7:13">
      <c r="G480" s="1" t="s">
        <v>170</v>
      </c>
      <c r="H480" s="1" t="s">
        <v>44</v>
      </c>
      <c r="I480" s="3">
        <v>0.4</v>
      </c>
      <c r="J480" s="3">
        <v>25900</v>
      </c>
      <c r="K480" s="4" t="s">
        <v>623</v>
      </c>
      <c r="L480" t="s">
        <v>171</v>
      </c>
      <c r="M480" s="4" t="s">
        <v>157</v>
      </c>
    </row>
    <row r="481" spans="7:13">
      <c r="G481" s="1" t="s">
        <v>172</v>
      </c>
      <c r="H481" s="1" t="s">
        <v>44</v>
      </c>
      <c r="I481" s="3">
        <v>0.4</v>
      </c>
      <c r="J481" s="3">
        <v>26600</v>
      </c>
      <c r="K481" s="4" t="s">
        <v>624</v>
      </c>
      <c r="L481" t="s">
        <v>173</v>
      </c>
      <c r="M481" s="4" t="s">
        <v>157</v>
      </c>
    </row>
    <row r="482" spans="7:13">
      <c r="G482" s="1" t="s">
        <v>174</v>
      </c>
      <c r="H482" s="1" t="s">
        <v>44</v>
      </c>
      <c r="I482" s="3">
        <v>0.4</v>
      </c>
      <c r="J482" s="3">
        <v>27300</v>
      </c>
      <c r="K482" s="4" t="s">
        <v>625</v>
      </c>
      <c r="L482" t="s">
        <v>175</v>
      </c>
      <c r="M482" s="4" t="s">
        <v>157</v>
      </c>
    </row>
    <row r="483" spans="7:13">
      <c r="G483" s="1" t="s">
        <v>176</v>
      </c>
      <c r="H483" s="1" t="s">
        <v>44</v>
      </c>
      <c r="I483" s="3">
        <v>0.4</v>
      </c>
      <c r="J483" s="3">
        <v>28000</v>
      </c>
      <c r="K483" s="4" t="s">
        <v>626</v>
      </c>
      <c r="L483" t="s">
        <v>177</v>
      </c>
      <c r="M483" s="4" t="s">
        <v>178</v>
      </c>
    </row>
    <row r="484" spans="7:13">
      <c r="G484" s="1" t="s">
        <v>179</v>
      </c>
      <c r="H484" s="1" t="s">
        <v>46</v>
      </c>
      <c r="I484" s="3">
        <v>0.3</v>
      </c>
      <c r="J484" s="3">
        <v>28800</v>
      </c>
      <c r="K484" s="4" t="s">
        <v>627</v>
      </c>
      <c r="L484" t="s">
        <v>180</v>
      </c>
      <c r="M484" s="4" t="s">
        <v>178</v>
      </c>
    </row>
    <row r="485" spans="7:13">
      <c r="G485" s="1" t="s">
        <v>181</v>
      </c>
      <c r="H485" s="1" t="s">
        <v>46</v>
      </c>
      <c r="I485" s="3">
        <v>0.3</v>
      </c>
      <c r="J485" s="3">
        <v>29600</v>
      </c>
      <c r="K485" s="4" t="s">
        <v>628</v>
      </c>
      <c r="L485" t="s">
        <v>182</v>
      </c>
      <c r="M485" s="4" t="s">
        <v>178</v>
      </c>
    </row>
    <row r="486" spans="7:13">
      <c r="G486" s="1" t="s">
        <v>183</v>
      </c>
      <c r="H486" s="1" t="s">
        <v>46</v>
      </c>
      <c r="I486" s="3">
        <v>0.3</v>
      </c>
      <c r="J486" s="3">
        <v>30400</v>
      </c>
      <c r="K486" s="4" t="s">
        <v>629</v>
      </c>
      <c r="L486" t="s">
        <v>184</v>
      </c>
      <c r="M486" s="4" t="s">
        <v>178</v>
      </c>
    </row>
    <row r="487" spans="7:13">
      <c r="G487" s="1" t="s">
        <v>185</v>
      </c>
      <c r="H487" s="1" t="s">
        <v>46</v>
      </c>
      <c r="I487" s="3">
        <v>0.3</v>
      </c>
      <c r="J487" s="3">
        <v>31200</v>
      </c>
      <c r="K487" s="4" t="s">
        <v>630</v>
      </c>
      <c r="L487" t="s">
        <v>186</v>
      </c>
      <c r="M487" s="4" t="s">
        <v>178</v>
      </c>
    </row>
    <row r="488" spans="7:13">
      <c r="G488" s="1" t="s">
        <v>187</v>
      </c>
      <c r="H488" s="1" t="s">
        <v>46</v>
      </c>
      <c r="I488" s="3">
        <v>0.3</v>
      </c>
      <c r="J488" s="3">
        <v>32000</v>
      </c>
      <c r="K488" s="4" t="s">
        <v>631</v>
      </c>
      <c r="L488" t="s">
        <v>188</v>
      </c>
      <c r="M488" s="4" t="s">
        <v>178</v>
      </c>
    </row>
    <row r="489" spans="7:13">
      <c r="G489" s="1" t="s">
        <v>189</v>
      </c>
      <c r="H489" s="1" t="s">
        <v>46</v>
      </c>
      <c r="I489" s="3">
        <v>0.3</v>
      </c>
      <c r="J489" s="3">
        <v>32800</v>
      </c>
      <c r="K489" s="4" t="s">
        <v>632</v>
      </c>
      <c r="L489" t="s">
        <v>190</v>
      </c>
      <c r="M489" s="4" t="s">
        <v>178</v>
      </c>
    </row>
    <row r="490" spans="7:13">
      <c r="G490" s="1" t="s">
        <v>191</v>
      </c>
      <c r="H490" s="1" t="s">
        <v>46</v>
      </c>
      <c r="I490" s="3">
        <v>0.3</v>
      </c>
      <c r="J490" s="3">
        <v>33600</v>
      </c>
      <c r="K490" s="4" t="s">
        <v>633</v>
      </c>
      <c r="L490" t="s">
        <v>192</v>
      </c>
      <c r="M490" s="4" t="s">
        <v>178</v>
      </c>
    </row>
    <row r="491" spans="7:13">
      <c r="G491" s="1" t="s">
        <v>193</v>
      </c>
      <c r="H491" s="1" t="s">
        <v>46</v>
      </c>
      <c r="I491" s="3">
        <v>0.3</v>
      </c>
      <c r="J491" s="3">
        <v>34400</v>
      </c>
      <c r="K491" s="4" t="s">
        <v>634</v>
      </c>
      <c r="L491" t="s">
        <v>194</v>
      </c>
      <c r="M491" s="4" t="s">
        <v>178</v>
      </c>
    </row>
    <row r="492" spans="7:13">
      <c r="G492" s="1" t="s">
        <v>195</v>
      </c>
      <c r="H492" s="1" t="s">
        <v>46</v>
      </c>
      <c r="I492" s="3">
        <v>0.3</v>
      </c>
      <c r="J492" s="3">
        <v>35200</v>
      </c>
      <c r="K492" s="4" t="s">
        <v>635</v>
      </c>
      <c r="L492" t="s">
        <v>196</v>
      </c>
      <c r="M492" s="4" t="s">
        <v>178</v>
      </c>
    </row>
    <row r="493" spans="7:13">
      <c r="G493" s="1" t="s">
        <v>197</v>
      </c>
      <c r="H493" s="1" t="s">
        <v>46</v>
      </c>
      <c r="I493" s="3">
        <v>0.3</v>
      </c>
      <c r="J493" s="3">
        <v>36000</v>
      </c>
      <c r="K493" s="4" t="s">
        <v>636</v>
      </c>
      <c r="L493" t="s">
        <v>198</v>
      </c>
      <c r="M493" s="4" t="s">
        <v>199</v>
      </c>
    </row>
    <row r="494" spans="7:13">
      <c r="G494" s="1" t="s">
        <v>200</v>
      </c>
      <c r="H494" s="1" t="s">
        <v>48</v>
      </c>
      <c r="I494" s="3">
        <v>0.2</v>
      </c>
      <c r="J494" s="3">
        <v>36900</v>
      </c>
      <c r="K494" s="4" t="s">
        <v>637</v>
      </c>
      <c r="L494" t="s">
        <v>201</v>
      </c>
      <c r="M494" s="4" t="s">
        <v>199</v>
      </c>
    </row>
    <row r="495" spans="7:13">
      <c r="G495" s="1" t="s">
        <v>202</v>
      </c>
      <c r="H495" s="1" t="s">
        <v>48</v>
      </c>
      <c r="I495" s="3">
        <v>0.2</v>
      </c>
      <c r="J495" s="3">
        <v>37800</v>
      </c>
      <c r="K495" s="4" t="s">
        <v>638</v>
      </c>
      <c r="L495" t="s">
        <v>203</v>
      </c>
      <c r="M495" s="4" t="s">
        <v>199</v>
      </c>
    </row>
    <row r="496" spans="7:13">
      <c r="G496" s="1" t="s">
        <v>204</v>
      </c>
      <c r="H496" s="1" t="s">
        <v>48</v>
      </c>
      <c r="I496" s="3">
        <v>0.2</v>
      </c>
      <c r="J496" s="3">
        <v>38700</v>
      </c>
      <c r="K496" s="4" t="s">
        <v>639</v>
      </c>
      <c r="L496" t="s">
        <v>205</v>
      </c>
      <c r="M496" s="4" t="s">
        <v>199</v>
      </c>
    </row>
    <row r="497" spans="7:13">
      <c r="G497" s="1" t="s">
        <v>206</v>
      </c>
      <c r="H497" s="1" t="s">
        <v>48</v>
      </c>
      <c r="I497" s="3">
        <v>0.2</v>
      </c>
      <c r="J497" s="3">
        <v>39600</v>
      </c>
      <c r="K497" s="4" t="s">
        <v>640</v>
      </c>
      <c r="L497" t="s">
        <v>207</v>
      </c>
      <c r="M497" s="4" t="s">
        <v>199</v>
      </c>
    </row>
    <row r="498" spans="7:13">
      <c r="G498" s="1" t="s">
        <v>208</v>
      </c>
      <c r="H498" s="1" t="s">
        <v>48</v>
      </c>
      <c r="I498" s="3">
        <v>0.2</v>
      </c>
      <c r="J498" s="3">
        <v>40500</v>
      </c>
      <c r="K498" s="4" t="s">
        <v>641</v>
      </c>
      <c r="L498" t="s">
        <v>209</v>
      </c>
      <c r="M498" s="4" t="s">
        <v>199</v>
      </c>
    </row>
    <row r="499" spans="7:13">
      <c r="G499" s="1" t="s">
        <v>210</v>
      </c>
      <c r="H499" s="1" t="s">
        <v>48</v>
      </c>
      <c r="I499" s="3">
        <v>0.2</v>
      </c>
      <c r="J499" s="3">
        <v>41400</v>
      </c>
      <c r="K499" s="4" t="s">
        <v>642</v>
      </c>
      <c r="L499" t="s">
        <v>211</v>
      </c>
      <c r="M499" s="4" t="s">
        <v>199</v>
      </c>
    </row>
    <row r="500" spans="7:13">
      <c r="G500" s="1" t="s">
        <v>212</v>
      </c>
      <c r="H500" s="1" t="s">
        <v>48</v>
      </c>
      <c r="I500" s="3">
        <v>0.2</v>
      </c>
      <c r="J500" s="3">
        <v>42300</v>
      </c>
      <c r="K500" s="4" t="s">
        <v>643</v>
      </c>
      <c r="L500" t="s">
        <v>213</v>
      </c>
      <c r="M500" s="4" t="s">
        <v>199</v>
      </c>
    </row>
    <row r="501" spans="7:13">
      <c r="G501" s="1" t="s">
        <v>214</v>
      </c>
      <c r="H501" s="1" t="s">
        <v>48</v>
      </c>
      <c r="I501" s="3">
        <v>0.2</v>
      </c>
      <c r="J501" s="3">
        <v>43200</v>
      </c>
      <c r="K501" s="4" t="s">
        <v>644</v>
      </c>
      <c r="L501" t="s">
        <v>215</v>
      </c>
      <c r="M501" s="4" t="s">
        <v>199</v>
      </c>
    </row>
    <row r="502" spans="7:13">
      <c r="G502" s="1" t="s">
        <v>216</v>
      </c>
      <c r="H502" s="1" t="s">
        <v>48</v>
      </c>
      <c r="I502" s="3">
        <v>0.2</v>
      </c>
      <c r="J502" s="3">
        <v>44100</v>
      </c>
      <c r="K502" s="4" t="s">
        <v>645</v>
      </c>
      <c r="L502" t="s">
        <v>217</v>
      </c>
      <c r="M502" s="4" t="s">
        <v>199</v>
      </c>
    </row>
    <row r="503" spans="7:13">
      <c r="G503" s="1" t="s">
        <v>218</v>
      </c>
      <c r="H503" s="1" t="s">
        <v>48</v>
      </c>
      <c r="I503" s="3">
        <v>0.2</v>
      </c>
      <c r="J503" s="3">
        <v>45000</v>
      </c>
      <c r="K503" s="4" t="s">
        <v>646</v>
      </c>
      <c r="L503" t="s">
        <v>219</v>
      </c>
      <c r="M503" s="4" t="s">
        <v>220</v>
      </c>
    </row>
    <row r="504" spans="7:13">
      <c r="G504" s="1" t="s">
        <v>221</v>
      </c>
      <c r="H504" s="1" t="s">
        <v>50</v>
      </c>
      <c r="I504" s="3">
        <v>0.1</v>
      </c>
      <c r="J504" s="3">
        <v>46000</v>
      </c>
      <c r="K504" s="4" t="s">
        <v>647</v>
      </c>
      <c r="L504" t="s">
        <v>222</v>
      </c>
      <c r="M504" s="4" t="s">
        <v>220</v>
      </c>
    </row>
    <row r="505" spans="7:13">
      <c r="G505" s="1" t="s">
        <v>223</v>
      </c>
      <c r="H505" s="1" t="s">
        <v>50</v>
      </c>
      <c r="I505" s="3">
        <v>0.1</v>
      </c>
      <c r="J505" s="3">
        <v>47000</v>
      </c>
      <c r="K505" s="4" t="s">
        <v>648</v>
      </c>
      <c r="L505" t="s">
        <v>224</v>
      </c>
      <c r="M505" s="4" t="s">
        <v>220</v>
      </c>
    </row>
    <row r="506" spans="7:13">
      <c r="G506" s="1" t="s">
        <v>225</v>
      </c>
      <c r="H506" s="1" t="s">
        <v>50</v>
      </c>
      <c r="I506" s="3">
        <v>0.1</v>
      </c>
      <c r="J506" s="3">
        <v>48000</v>
      </c>
      <c r="K506" s="4" t="s">
        <v>649</v>
      </c>
      <c r="L506" t="s">
        <v>226</v>
      </c>
      <c r="M506" s="4" t="s">
        <v>220</v>
      </c>
    </row>
    <row r="507" spans="7:13">
      <c r="G507" s="1" t="s">
        <v>227</v>
      </c>
      <c r="H507" s="1" t="s">
        <v>50</v>
      </c>
      <c r="I507" s="3">
        <v>0.1</v>
      </c>
      <c r="J507" s="3">
        <v>49000</v>
      </c>
      <c r="K507" s="4" t="s">
        <v>650</v>
      </c>
      <c r="L507" t="s">
        <v>228</v>
      </c>
      <c r="M507" s="4" t="s">
        <v>220</v>
      </c>
    </row>
    <row r="508" spans="7:13">
      <c r="G508" s="1" t="s">
        <v>229</v>
      </c>
      <c r="H508" s="1" t="s">
        <v>50</v>
      </c>
      <c r="I508" s="3">
        <v>0.1</v>
      </c>
      <c r="J508" s="3">
        <v>50000</v>
      </c>
      <c r="K508" s="4" t="s">
        <v>651</v>
      </c>
      <c r="L508" t="s">
        <v>230</v>
      </c>
      <c r="M508" s="4" t="s">
        <v>220</v>
      </c>
    </row>
    <row r="509" spans="7:13">
      <c r="G509" s="1" t="s">
        <v>231</v>
      </c>
      <c r="H509" s="1" t="s">
        <v>50</v>
      </c>
      <c r="I509" s="3">
        <v>0.1</v>
      </c>
      <c r="J509" s="3">
        <v>51000</v>
      </c>
      <c r="K509" s="4" t="s">
        <v>652</v>
      </c>
      <c r="L509" t="s">
        <v>232</v>
      </c>
      <c r="M509" s="4" t="s">
        <v>220</v>
      </c>
    </row>
    <row r="510" spans="7:13">
      <c r="G510" s="1" t="s">
        <v>233</v>
      </c>
      <c r="H510" s="1" t="s">
        <v>50</v>
      </c>
      <c r="I510" s="3">
        <v>0.1</v>
      </c>
      <c r="J510" s="3">
        <v>52000</v>
      </c>
      <c r="K510" s="4" t="s">
        <v>653</v>
      </c>
      <c r="L510" t="s">
        <v>234</v>
      </c>
      <c r="M510" s="4" t="s">
        <v>220</v>
      </c>
    </row>
    <row r="511" spans="7:13">
      <c r="G511" s="1" t="s">
        <v>235</v>
      </c>
      <c r="H511" s="1" t="s">
        <v>50</v>
      </c>
      <c r="I511" s="3">
        <v>0.1</v>
      </c>
      <c r="J511" s="3">
        <v>53000</v>
      </c>
      <c r="K511" s="4" t="s">
        <v>654</v>
      </c>
      <c r="L511" t="s">
        <v>236</v>
      </c>
      <c r="M511" s="4" t="s">
        <v>220</v>
      </c>
    </row>
    <row r="512" spans="7:13">
      <c r="G512" s="1" t="s">
        <v>237</v>
      </c>
      <c r="H512" s="1" t="s">
        <v>50</v>
      </c>
      <c r="I512" s="3">
        <v>0.1</v>
      </c>
      <c r="J512" s="3">
        <v>54000</v>
      </c>
      <c r="K512" s="4" t="s">
        <v>655</v>
      </c>
      <c r="L512" t="s">
        <v>238</v>
      </c>
      <c r="M512" s="4" t="s">
        <v>220</v>
      </c>
    </row>
    <row r="513" spans="2:13">
      <c r="G513" s="1" t="s">
        <v>239</v>
      </c>
      <c r="H513" s="1" t="s">
        <v>50</v>
      </c>
      <c r="I513" s="3">
        <v>0.1</v>
      </c>
      <c r="J513" s="3">
        <v>55000</v>
      </c>
      <c r="K513" s="4" t="s">
        <v>656</v>
      </c>
      <c r="L513" t="s">
        <v>240</v>
      </c>
      <c r="M513" s="4"/>
    </row>
    <row r="515" spans="2:13">
      <c r="B515" s="1" t="s">
        <v>657</v>
      </c>
      <c r="C515" s="1" t="s">
        <v>658</v>
      </c>
      <c r="D515" s="1" t="s">
        <v>659</v>
      </c>
      <c r="E515" s="1" t="s">
        <v>660</v>
      </c>
      <c r="G515" s="1" t="s">
        <v>30</v>
      </c>
      <c r="H515" s="1" t="s">
        <v>31</v>
      </c>
      <c r="I515" s="3">
        <v>1</v>
      </c>
      <c r="J515" s="1" t="s">
        <v>30</v>
      </c>
      <c r="M515" s="4" t="s">
        <v>32</v>
      </c>
    </row>
    <row r="516" spans="2:13">
      <c r="G516" s="1" t="s">
        <v>31</v>
      </c>
      <c r="H516" s="1" t="s">
        <v>31</v>
      </c>
      <c r="I516" s="3">
        <v>1</v>
      </c>
      <c r="J516" s="3">
        <v>100</v>
      </c>
      <c r="K516" s="4" t="s">
        <v>661</v>
      </c>
      <c r="L516" t="s">
        <v>662</v>
      </c>
      <c r="M516" s="4" t="s">
        <v>32</v>
      </c>
    </row>
    <row r="517" spans="2:13">
      <c r="G517" s="1" t="s">
        <v>34</v>
      </c>
      <c r="H517" s="1" t="s">
        <v>31</v>
      </c>
      <c r="I517" s="3">
        <v>1</v>
      </c>
      <c r="J517" s="3">
        <v>200</v>
      </c>
      <c r="K517" s="4" t="s">
        <v>663</v>
      </c>
      <c r="L517" t="s">
        <v>33</v>
      </c>
      <c r="M517" s="4" t="s">
        <v>32</v>
      </c>
    </row>
    <row r="518" spans="2:13">
      <c r="G518" s="1" t="s">
        <v>36</v>
      </c>
      <c r="H518" s="1" t="s">
        <v>31</v>
      </c>
      <c r="I518" s="3">
        <v>1</v>
      </c>
      <c r="J518" s="3">
        <v>300</v>
      </c>
      <c r="K518" s="4" t="s">
        <v>664</v>
      </c>
      <c r="L518" t="s">
        <v>665</v>
      </c>
      <c r="M518" s="4" t="s">
        <v>32</v>
      </c>
    </row>
    <row r="519" spans="2:13">
      <c r="G519" s="1" t="s">
        <v>38</v>
      </c>
      <c r="H519" s="1" t="s">
        <v>31</v>
      </c>
      <c r="I519" s="3">
        <v>1</v>
      </c>
      <c r="J519" s="3">
        <v>400</v>
      </c>
      <c r="K519" s="4" t="s">
        <v>666</v>
      </c>
      <c r="L519" t="s">
        <v>35</v>
      </c>
      <c r="M519" s="4" t="s">
        <v>32</v>
      </c>
    </row>
    <row r="520" spans="2:13">
      <c r="G520" s="1" t="s">
        <v>40</v>
      </c>
      <c r="H520" s="1" t="s">
        <v>31</v>
      </c>
      <c r="I520" s="3">
        <v>1</v>
      </c>
      <c r="J520" s="3">
        <v>500</v>
      </c>
      <c r="K520" s="4" t="s">
        <v>667</v>
      </c>
      <c r="L520" t="s">
        <v>668</v>
      </c>
      <c r="M520" s="4" t="s">
        <v>32</v>
      </c>
    </row>
    <row r="521" spans="2:13">
      <c r="G521" s="1" t="s">
        <v>42</v>
      </c>
      <c r="H521" s="1" t="s">
        <v>31</v>
      </c>
      <c r="I521" s="3">
        <v>1</v>
      </c>
      <c r="J521" s="3">
        <v>600</v>
      </c>
      <c r="K521" s="4" t="s">
        <v>669</v>
      </c>
      <c r="L521" t="s">
        <v>37</v>
      </c>
      <c r="M521" s="4" t="s">
        <v>32</v>
      </c>
    </row>
    <row r="522" spans="2:13">
      <c r="G522" s="1" t="s">
        <v>44</v>
      </c>
      <c r="H522" s="1" t="s">
        <v>31</v>
      </c>
      <c r="I522" s="3">
        <v>1</v>
      </c>
      <c r="J522" s="3">
        <v>700</v>
      </c>
      <c r="K522" s="4" t="s">
        <v>670</v>
      </c>
      <c r="L522" t="s">
        <v>671</v>
      </c>
      <c r="M522" s="4" t="s">
        <v>32</v>
      </c>
    </row>
    <row r="523" spans="2:13">
      <c r="G523" s="1" t="s">
        <v>46</v>
      </c>
      <c r="H523" s="1" t="s">
        <v>31</v>
      </c>
      <c r="I523" s="3">
        <v>1</v>
      </c>
      <c r="J523" s="3">
        <v>800</v>
      </c>
      <c r="K523" s="4" t="s">
        <v>672</v>
      </c>
      <c r="L523" t="s">
        <v>39</v>
      </c>
      <c r="M523" s="4" t="s">
        <v>32</v>
      </c>
    </row>
    <row r="524" spans="2:13">
      <c r="G524" s="1" t="s">
        <v>48</v>
      </c>
      <c r="H524" s="1" t="s">
        <v>31</v>
      </c>
      <c r="I524" s="3">
        <v>1</v>
      </c>
      <c r="J524" s="3">
        <v>900</v>
      </c>
      <c r="K524" s="4" t="s">
        <v>673</v>
      </c>
      <c r="L524" t="s">
        <v>674</v>
      </c>
      <c r="M524" s="4" t="s">
        <v>32</v>
      </c>
    </row>
    <row r="525" spans="2:13">
      <c r="G525" s="1" t="s">
        <v>50</v>
      </c>
      <c r="H525" s="1" t="s">
        <v>31</v>
      </c>
      <c r="I525" s="3">
        <v>1</v>
      </c>
      <c r="J525" s="3">
        <v>1000</v>
      </c>
      <c r="K525" s="4" t="s">
        <v>675</v>
      </c>
      <c r="L525" t="s">
        <v>41</v>
      </c>
      <c r="M525" s="4" t="s">
        <v>52</v>
      </c>
    </row>
    <row r="526" spans="2:13">
      <c r="G526" s="1" t="s">
        <v>53</v>
      </c>
      <c r="H526" s="1" t="s">
        <v>34</v>
      </c>
      <c r="I526" s="3">
        <v>0.9</v>
      </c>
      <c r="J526" s="3">
        <v>1200</v>
      </c>
      <c r="K526" s="4" t="s">
        <v>676</v>
      </c>
      <c r="L526" t="s">
        <v>43</v>
      </c>
      <c r="M526" s="4" t="s">
        <v>52</v>
      </c>
    </row>
    <row r="527" spans="2:13">
      <c r="G527" s="1" t="s">
        <v>55</v>
      </c>
      <c r="H527" s="1" t="s">
        <v>34</v>
      </c>
      <c r="I527" s="3">
        <v>0.9</v>
      </c>
      <c r="J527" s="3">
        <v>1400</v>
      </c>
      <c r="K527" s="4" t="s">
        <v>677</v>
      </c>
      <c r="L527" t="s">
        <v>45</v>
      </c>
      <c r="M527" s="4" t="s">
        <v>52</v>
      </c>
    </row>
    <row r="528" spans="2:13">
      <c r="G528" s="1" t="s">
        <v>57</v>
      </c>
      <c r="H528" s="1" t="s">
        <v>34</v>
      </c>
      <c r="I528" s="3">
        <v>0.9</v>
      </c>
      <c r="J528" s="3">
        <v>1600</v>
      </c>
      <c r="K528" s="4" t="s">
        <v>678</v>
      </c>
      <c r="L528" t="s">
        <v>47</v>
      </c>
      <c r="M528" s="4" t="s">
        <v>52</v>
      </c>
    </row>
    <row r="529" spans="7:13">
      <c r="G529" s="1" t="s">
        <v>59</v>
      </c>
      <c r="H529" s="1" t="s">
        <v>34</v>
      </c>
      <c r="I529" s="3">
        <v>0.9</v>
      </c>
      <c r="J529" s="3">
        <v>1800</v>
      </c>
      <c r="K529" s="4" t="s">
        <v>679</v>
      </c>
      <c r="L529" t="s">
        <v>49</v>
      </c>
      <c r="M529" s="4" t="s">
        <v>52</v>
      </c>
    </row>
    <row r="530" spans="7:13">
      <c r="G530" s="1" t="s">
        <v>61</v>
      </c>
      <c r="H530" s="1" t="s">
        <v>34</v>
      </c>
      <c r="I530" s="3">
        <v>0.9</v>
      </c>
      <c r="J530" s="3">
        <v>2000</v>
      </c>
      <c r="K530" s="4" t="s">
        <v>680</v>
      </c>
      <c r="L530" t="s">
        <v>51</v>
      </c>
      <c r="M530" s="4" t="s">
        <v>52</v>
      </c>
    </row>
    <row r="531" spans="7:13">
      <c r="G531" s="1" t="s">
        <v>63</v>
      </c>
      <c r="H531" s="1" t="s">
        <v>34</v>
      </c>
      <c r="I531" s="3">
        <v>0.9</v>
      </c>
      <c r="J531" s="3">
        <v>2200</v>
      </c>
      <c r="K531" s="4" t="s">
        <v>681</v>
      </c>
      <c r="L531" t="s">
        <v>682</v>
      </c>
      <c r="M531" s="4" t="s">
        <v>52</v>
      </c>
    </row>
    <row r="532" spans="7:13">
      <c r="G532" s="1" t="s">
        <v>65</v>
      </c>
      <c r="H532" s="1" t="s">
        <v>34</v>
      </c>
      <c r="I532" s="3">
        <v>0.9</v>
      </c>
      <c r="J532" s="3">
        <v>2400</v>
      </c>
      <c r="K532" s="4" t="s">
        <v>683</v>
      </c>
      <c r="L532" t="s">
        <v>54</v>
      </c>
      <c r="M532" s="4" t="s">
        <v>52</v>
      </c>
    </row>
    <row r="533" spans="7:13">
      <c r="G533" s="1" t="s">
        <v>67</v>
      </c>
      <c r="H533" s="1" t="s">
        <v>34</v>
      </c>
      <c r="I533" s="3">
        <v>0.9</v>
      </c>
      <c r="J533" s="3">
        <v>2600</v>
      </c>
      <c r="K533" s="4" t="s">
        <v>684</v>
      </c>
      <c r="L533" t="s">
        <v>685</v>
      </c>
      <c r="M533" s="4" t="s">
        <v>52</v>
      </c>
    </row>
    <row r="534" spans="7:13">
      <c r="G534" s="1" t="s">
        <v>69</v>
      </c>
      <c r="H534" s="1" t="s">
        <v>34</v>
      </c>
      <c r="I534" s="3">
        <v>0.9</v>
      </c>
      <c r="J534" s="3">
        <v>2800</v>
      </c>
      <c r="K534" s="4" t="s">
        <v>686</v>
      </c>
      <c r="L534" t="s">
        <v>56</v>
      </c>
      <c r="M534" s="4" t="s">
        <v>52</v>
      </c>
    </row>
    <row r="535" spans="7:13">
      <c r="G535" s="1" t="s">
        <v>71</v>
      </c>
      <c r="H535" s="1" t="s">
        <v>34</v>
      </c>
      <c r="I535" s="3">
        <v>0.9</v>
      </c>
      <c r="J535" s="3">
        <v>3000</v>
      </c>
      <c r="K535" s="4" t="s">
        <v>687</v>
      </c>
      <c r="L535" t="s">
        <v>688</v>
      </c>
      <c r="M535" s="4" t="s">
        <v>73</v>
      </c>
    </row>
    <row r="536" spans="7:13">
      <c r="G536" s="1" t="s">
        <v>74</v>
      </c>
      <c r="H536" s="1" t="s">
        <v>36</v>
      </c>
      <c r="I536" s="3">
        <v>0.8</v>
      </c>
      <c r="J536" s="3">
        <v>3300</v>
      </c>
      <c r="K536" s="4" t="s">
        <v>689</v>
      </c>
      <c r="L536" t="s">
        <v>690</v>
      </c>
      <c r="M536" s="4" t="s">
        <v>73</v>
      </c>
    </row>
    <row r="537" spans="7:13">
      <c r="G537" s="1" t="s">
        <v>76</v>
      </c>
      <c r="H537" s="1" t="s">
        <v>36</v>
      </c>
      <c r="I537" s="3">
        <v>0.8</v>
      </c>
      <c r="J537" s="3">
        <v>3600</v>
      </c>
      <c r="K537" s="4" t="s">
        <v>691</v>
      </c>
      <c r="L537" t="s">
        <v>60</v>
      </c>
      <c r="M537" s="4" t="s">
        <v>73</v>
      </c>
    </row>
    <row r="538" spans="7:13">
      <c r="G538" s="1" t="s">
        <v>78</v>
      </c>
      <c r="H538" s="1" t="s">
        <v>36</v>
      </c>
      <c r="I538" s="3">
        <v>0.8</v>
      </c>
      <c r="J538" s="3">
        <v>3900</v>
      </c>
      <c r="K538" s="4" t="s">
        <v>692</v>
      </c>
      <c r="L538" t="s">
        <v>693</v>
      </c>
      <c r="M538" s="4" t="s">
        <v>73</v>
      </c>
    </row>
    <row r="539" spans="7:13">
      <c r="G539" s="1" t="s">
        <v>80</v>
      </c>
      <c r="H539" s="1" t="s">
        <v>36</v>
      </c>
      <c r="I539" s="3">
        <v>0.8</v>
      </c>
      <c r="J539" s="3">
        <v>4200</v>
      </c>
      <c r="K539" s="4" t="s">
        <v>694</v>
      </c>
      <c r="L539" t="s">
        <v>695</v>
      </c>
      <c r="M539" s="4" t="s">
        <v>73</v>
      </c>
    </row>
    <row r="540" spans="7:13">
      <c r="G540" s="1" t="s">
        <v>82</v>
      </c>
      <c r="H540" s="1" t="s">
        <v>36</v>
      </c>
      <c r="I540" s="3">
        <v>0.8</v>
      </c>
      <c r="J540" s="3">
        <v>4500</v>
      </c>
      <c r="K540" s="4" t="s">
        <v>696</v>
      </c>
      <c r="L540" t="s">
        <v>697</v>
      </c>
      <c r="M540" s="4" t="s">
        <v>73</v>
      </c>
    </row>
    <row r="541" spans="7:13">
      <c r="G541" s="1" t="s">
        <v>84</v>
      </c>
      <c r="H541" s="1" t="s">
        <v>36</v>
      </c>
      <c r="I541" s="3">
        <v>0.8</v>
      </c>
      <c r="J541" s="3">
        <v>4800</v>
      </c>
      <c r="K541" s="4" t="s">
        <v>698</v>
      </c>
      <c r="L541" t="s">
        <v>66</v>
      </c>
      <c r="M541" s="4" t="s">
        <v>73</v>
      </c>
    </row>
    <row r="542" spans="7:13">
      <c r="G542" s="1" t="s">
        <v>86</v>
      </c>
      <c r="H542" s="1" t="s">
        <v>36</v>
      </c>
      <c r="I542" s="3">
        <v>0.8</v>
      </c>
      <c r="J542" s="3">
        <v>5100</v>
      </c>
      <c r="K542" s="4" t="s">
        <v>699</v>
      </c>
      <c r="L542" t="s">
        <v>700</v>
      </c>
      <c r="M542" s="4" t="s">
        <v>73</v>
      </c>
    </row>
    <row r="543" spans="7:13">
      <c r="G543" s="1" t="s">
        <v>88</v>
      </c>
      <c r="H543" s="1" t="s">
        <v>36</v>
      </c>
      <c r="I543" s="3">
        <v>0.8</v>
      </c>
      <c r="J543" s="3">
        <v>5400</v>
      </c>
      <c r="K543" s="4" t="s">
        <v>701</v>
      </c>
      <c r="L543" t="s">
        <v>702</v>
      </c>
      <c r="M543" s="4" t="s">
        <v>73</v>
      </c>
    </row>
    <row r="544" spans="7:13">
      <c r="G544" s="1" t="s">
        <v>90</v>
      </c>
      <c r="H544" s="1" t="s">
        <v>36</v>
      </c>
      <c r="I544" s="3">
        <v>0.8</v>
      </c>
      <c r="J544" s="3">
        <v>5700</v>
      </c>
      <c r="K544" s="4" t="s">
        <v>703</v>
      </c>
      <c r="L544" t="s">
        <v>704</v>
      </c>
      <c r="M544" s="4" t="s">
        <v>73</v>
      </c>
    </row>
    <row r="545" spans="7:13">
      <c r="G545" s="1" t="s">
        <v>92</v>
      </c>
      <c r="H545" s="1" t="s">
        <v>36</v>
      </c>
      <c r="I545" s="3">
        <v>0.8</v>
      </c>
      <c r="J545" s="3">
        <v>6000</v>
      </c>
      <c r="K545" s="4" t="s">
        <v>705</v>
      </c>
      <c r="L545" t="s">
        <v>72</v>
      </c>
      <c r="M545" s="4" t="s">
        <v>94</v>
      </c>
    </row>
    <row r="546" spans="7:13">
      <c r="G546" s="1" t="s">
        <v>95</v>
      </c>
      <c r="H546" s="1" t="s">
        <v>38</v>
      </c>
      <c r="I546" s="3">
        <v>0.7</v>
      </c>
      <c r="J546" s="3">
        <v>6400</v>
      </c>
      <c r="K546" s="4" t="s">
        <v>706</v>
      </c>
      <c r="L546" t="s">
        <v>707</v>
      </c>
      <c r="M546" s="4" t="s">
        <v>94</v>
      </c>
    </row>
    <row r="547" spans="7:13">
      <c r="G547" s="1" t="s">
        <v>97</v>
      </c>
      <c r="H547" s="1" t="s">
        <v>38</v>
      </c>
      <c r="I547" s="3">
        <v>0.7</v>
      </c>
      <c r="J547" s="3">
        <v>6800</v>
      </c>
      <c r="K547" s="4" t="s">
        <v>708</v>
      </c>
      <c r="L547" t="s">
        <v>709</v>
      </c>
      <c r="M547" s="4" t="s">
        <v>94</v>
      </c>
    </row>
    <row r="548" spans="7:13">
      <c r="G548" s="1" t="s">
        <v>99</v>
      </c>
      <c r="H548" s="1" t="s">
        <v>38</v>
      </c>
      <c r="I548" s="3">
        <v>0.7</v>
      </c>
      <c r="J548" s="3">
        <v>7200</v>
      </c>
      <c r="K548" s="4" t="s">
        <v>710</v>
      </c>
      <c r="L548" t="s">
        <v>77</v>
      </c>
      <c r="M548" s="4" t="s">
        <v>94</v>
      </c>
    </row>
    <row r="549" spans="7:13">
      <c r="G549" s="1" t="s">
        <v>101</v>
      </c>
      <c r="H549" s="1" t="s">
        <v>38</v>
      </c>
      <c r="I549" s="3">
        <v>0.7</v>
      </c>
      <c r="J549" s="3">
        <v>7600</v>
      </c>
      <c r="K549" s="4" t="s">
        <v>711</v>
      </c>
      <c r="L549" t="s">
        <v>712</v>
      </c>
      <c r="M549" s="4" t="s">
        <v>94</v>
      </c>
    </row>
    <row r="550" spans="7:13">
      <c r="G550" s="1" t="s">
        <v>103</v>
      </c>
      <c r="H550" s="1" t="s">
        <v>38</v>
      </c>
      <c r="I550" s="3">
        <v>0.7</v>
      </c>
      <c r="J550" s="3">
        <v>8000</v>
      </c>
      <c r="K550" s="4" t="s">
        <v>713</v>
      </c>
      <c r="L550" t="s">
        <v>714</v>
      </c>
      <c r="M550" s="4" t="s">
        <v>94</v>
      </c>
    </row>
    <row r="551" spans="7:13">
      <c r="G551" s="1" t="s">
        <v>105</v>
      </c>
      <c r="H551" s="1" t="s">
        <v>38</v>
      </c>
      <c r="I551" s="3">
        <v>0.7</v>
      </c>
      <c r="J551" s="3">
        <v>8400</v>
      </c>
      <c r="K551" s="4" t="s">
        <v>715</v>
      </c>
      <c r="L551" t="s">
        <v>81</v>
      </c>
      <c r="M551" s="4" t="s">
        <v>94</v>
      </c>
    </row>
    <row r="552" spans="7:13">
      <c r="G552" s="1" t="s">
        <v>107</v>
      </c>
      <c r="H552" s="1" t="s">
        <v>38</v>
      </c>
      <c r="I552" s="3">
        <v>0.7</v>
      </c>
      <c r="J552" s="3">
        <v>8800</v>
      </c>
      <c r="K552" s="4" t="s">
        <v>716</v>
      </c>
      <c r="L552" t="s">
        <v>717</v>
      </c>
      <c r="M552" s="4" t="s">
        <v>94</v>
      </c>
    </row>
    <row r="553" spans="7:13">
      <c r="G553" s="1" t="s">
        <v>109</v>
      </c>
      <c r="H553" s="1" t="s">
        <v>38</v>
      </c>
      <c r="I553" s="3">
        <v>0.7</v>
      </c>
      <c r="J553" s="3">
        <v>9200</v>
      </c>
      <c r="K553" s="4" t="s">
        <v>718</v>
      </c>
      <c r="L553" t="s">
        <v>719</v>
      </c>
      <c r="M553" s="4" t="s">
        <v>94</v>
      </c>
    </row>
    <row r="554" spans="7:13">
      <c r="G554" s="1" t="s">
        <v>111</v>
      </c>
      <c r="H554" s="1" t="s">
        <v>38</v>
      </c>
      <c r="I554" s="3">
        <v>0.7</v>
      </c>
      <c r="J554" s="3">
        <v>9600</v>
      </c>
      <c r="K554" s="4" t="s">
        <v>720</v>
      </c>
      <c r="L554" t="s">
        <v>85</v>
      </c>
      <c r="M554" s="4" t="s">
        <v>94</v>
      </c>
    </row>
    <row r="555" spans="7:13">
      <c r="G555" s="1" t="s">
        <v>113</v>
      </c>
      <c r="H555" s="1" t="s">
        <v>38</v>
      </c>
      <c r="I555" s="3">
        <v>0.7</v>
      </c>
      <c r="J555" s="3">
        <v>10000</v>
      </c>
      <c r="K555" s="4" t="s">
        <v>721</v>
      </c>
      <c r="L555" t="s">
        <v>722</v>
      </c>
      <c r="M555" s="4" t="s">
        <v>115</v>
      </c>
    </row>
    <row r="556" spans="7:13">
      <c r="G556" s="1" t="s">
        <v>116</v>
      </c>
      <c r="H556" s="1" t="s">
        <v>40</v>
      </c>
      <c r="I556" s="3">
        <v>0.6</v>
      </c>
      <c r="J556" s="3">
        <v>10500</v>
      </c>
      <c r="K556" s="4" t="s">
        <v>723</v>
      </c>
      <c r="L556" t="s">
        <v>724</v>
      </c>
      <c r="M556" s="4" t="s">
        <v>115</v>
      </c>
    </row>
    <row r="557" spans="7:13">
      <c r="G557" s="1" t="s">
        <v>118</v>
      </c>
      <c r="H557" s="1" t="s">
        <v>40</v>
      </c>
      <c r="I557" s="3">
        <v>0.6</v>
      </c>
      <c r="J557" s="3">
        <v>11000</v>
      </c>
      <c r="K557" s="4" t="s">
        <v>725</v>
      </c>
      <c r="L557" t="s">
        <v>726</v>
      </c>
      <c r="M557" s="4" t="s">
        <v>115</v>
      </c>
    </row>
    <row r="558" spans="7:13">
      <c r="G558" s="1" t="s">
        <v>120</v>
      </c>
      <c r="H558" s="1" t="s">
        <v>40</v>
      </c>
      <c r="I558" s="3">
        <v>0.6</v>
      </c>
      <c r="J558" s="3">
        <v>11500</v>
      </c>
      <c r="K558" s="4" t="s">
        <v>727</v>
      </c>
      <c r="L558" t="s">
        <v>728</v>
      </c>
      <c r="M558" s="4" t="s">
        <v>115</v>
      </c>
    </row>
    <row r="559" spans="7:13">
      <c r="G559" s="1" t="s">
        <v>122</v>
      </c>
      <c r="H559" s="1" t="s">
        <v>40</v>
      </c>
      <c r="I559" s="3">
        <v>0.6</v>
      </c>
      <c r="J559" s="3">
        <v>12000</v>
      </c>
      <c r="K559" s="4" t="s">
        <v>729</v>
      </c>
      <c r="L559" t="s">
        <v>93</v>
      </c>
      <c r="M559" s="4" t="s">
        <v>115</v>
      </c>
    </row>
    <row r="560" spans="7:13">
      <c r="G560" s="1" t="s">
        <v>124</v>
      </c>
      <c r="H560" s="1" t="s">
        <v>40</v>
      </c>
      <c r="I560" s="3">
        <v>0.6</v>
      </c>
      <c r="J560" s="3">
        <v>12500</v>
      </c>
      <c r="K560" s="4" t="s">
        <v>730</v>
      </c>
      <c r="L560" t="s">
        <v>731</v>
      </c>
      <c r="M560" s="4" t="s">
        <v>115</v>
      </c>
    </row>
    <row r="561" spans="7:13">
      <c r="G561" s="1" t="s">
        <v>126</v>
      </c>
      <c r="H561" s="1" t="s">
        <v>40</v>
      </c>
      <c r="I561" s="3">
        <v>0.6</v>
      </c>
      <c r="J561" s="3">
        <v>13000</v>
      </c>
      <c r="K561" s="4" t="s">
        <v>732</v>
      </c>
      <c r="L561" t="s">
        <v>733</v>
      </c>
      <c r="M561" s="4" t="s">
        <v>115</v>
      </c>
    </row>
    <row r="562" spans="7:13">
      <c r="G562" s="1" t="s">
        <v>128</v>
      </c>
      <c r="H562" s="1" t="s">
        <v>40</v>
      </c>
      <c r="I562" s="3">
        <v>0.6</v>
      </c>
      <c r="J562" s="3">
        <v>13500</v>
      </c>
      <c r="K562" s="4" t="s">
        <v>734</v>
      </c>
      <c r="L562" t="s">
        <v>735</v>
      </c>
      <c r="M562" s="4" t="s">
        <v>115</v>
      </c>
    </row>
    <row r="563" spans="7:13">
      <c r="G563" s="1" t="s">
        <v>130</v>
      </c>
      <c r="H563" s="1" t="s">
        <v>40</v>
      </c>
      <c r="I563" s="3">
        <v>0.6</v>
      </c>
      <c r="J563" s="3">
        <v>14000</v>
      </c>
      <c r="K563" s="4" t="s">
        <v>736</v>
      </c>
      <c r="L563" t="s">
        <v>737</v>
      </c>
      <c r="M563" s="4" t="s">
        <v>115</v>
      </c>
    </row>
    <row r="564" spans="7:13">
      <c r="G564" s="1" t="s">
        <v>132</v>
      </c>
      <c r="H564" s="1" t="s">
        <v>40</v>
      </c>
      <c r="I564" s="3">
        <v>0.6</v>
      </c>
      <c r="J564" s="3">
        <v>14500</v>
      </c>
      <c r="K564" s="4" t="s">
        <v>738</v>
      </c>
      <c r="L564" t="s">
        <v>739</v>
      </c>
      <c r="M564" s="4" t="s">
        <v>115</v>
      </c>
    </row>
    <row r="565" spans="7:13">
      <c r="G565" s="1" t="s">
        <v>134</v>
      </c>
      <c r="H565" s="1" t="s">
        <v>40</v>
      </c>
      <c r="I565" s="3">
        <v>0.6</v>
      </c>
      <c r="J565" s="3">
        <v>15000</v>
      </c>
      <c r="K565" s="4" t="s">
        <v>740</v>
      </c>
      <c r="L565" t="s">
        <v>741</v>
      </c>
      <c r="M565" s="4" t="s">
        <v>136</v>
      </c>
    </row>
    <row r="566" spans="7:13">
      <c r="G566" s="1" t="s">
        <v>137</v>
      </c>
      <c r="H566" s="1" t="s">
        <v>42</v>
      </c>
      <c r="I566" s="3">
        <v>0.5</v>
      </c>
      <c r="J566" s="3">
        <v>15600</v>
      </c>
      <c r="K566" s="4" t="s">
        <v>742</v>
      </c>
      <c r="L566" t="s">
        <v>743</v>
      </c>
      <c r="M566" s="4" t="s">
        <v>136</v>
      </c>
    </row>
    <row r="567" spans="7:13">
      <c r="G567" s="1" t="s">
        <v>139</v>
      </c>
      <c r="H567" s="1" t="s">
        <v>42</v>
      </c>
      <c r="I567" s="3">
        <v>0.5</v>
      </c>
      <c r="J567" s="3">
        <v>16200</v>
      </c>
      <c r="K567" s="4" t="s">
        <v>744</v>
      </c>
      <c r="L567" t="s">
        <v>745</v>
      </c>
      <c r="M567" s="4" t="s">
        <v>136</v>
      </c>
    </row>
    <row r="568" spans="7:13">
      <c r="G568" s="1" t="s">
        <v>141</v>
      </c>
      <c r="H568" s="1" t="s">
        <v>42</v>
      </c>
      <c r="I568" s="3">
        <v>0.5</v>
      </c>
      <c r="J568" s="3">
        <v>16800</v>
      </c>
      <c r="K568" s="4" t="s">
        <v>746</v>
      </c>
      <c r="L568" t="s">
        <v>106</v>
      </c>
      <c r="M568" s="4" t="s">
        <v>136</v>
      </c>
    </row>
    <row r="569" spans="7:13">
      <c r="G569" s="1" t="s">
        <v>143</v>
      </c>
      <c r="H569" s="1" t="s">
        <v>42</v>
      </c>
      <c r="I569" s="3">
        <v>0.5</v>
      </c>
      <c r="J569" s="3">
        <v>17400</v>
      </c>
      <c r="K569" s="4" t="s">
        <v>747</v>
      </c>
      <c r="L569" t="s">
        <v>748</v>
      </c>
      <c r="M569" s="4" t="s">
        <v>136</v>
      </c>
    </row>
    <row r="570" spans="7:13">
      <c r="G570" s="1" t="s">
        <v>145</v>
      </c>
      <c r="H570" s="1" t="s">
        <v>42</v>
      </c>
      <c r="I570" s="3">
        <v>0.5</v>
      </c>
      <c r="J570" s="3">
        <v>18000</v>
      </c>
      <c r="K570" s="4" t="s">
        <v>749</v>
      </c>
      <c r="L570" t="s">
        <v>750</v>
      </c>
      <c r="M570" s="4" t="s">
        <v>136</v>
      </c>
    </row>
    <row r="571" spans="7:13">
      <c r="G571" s="1" t="s">
        <v>147</v>
      </c>
      <c r="H571" s="1" t="s">
        <v>42</v>
      </c>
      <c r="I571" s="3">
        <v>0.5</v>
      </c>
      <c r="J571" s="3">
        <v>18600</v>
      </c>
      <c r="K571" s="4" t="s">
        <v>751</v>
      </c>
      <c r="L571" t="s">
        <v>752</v>
      </c>
      <c r="M571" s="4" t="s">
        <v>136</v>
      </c>
    </row>
    <row r="572" spans="7:13">
      <c r="G572" s="1" t="s">
        <v>149</v>
      </c>
      <c r="H572" s="1" t="s">
        <v>42</v>
      </c>
      <c r="I572" s="3">
        <v>0.5</v>
      </c>
      <c r="J572" s="3">
        <v>19200</v>
      </c>
      <c r="K572" s="4" t="s">
        <v>753</v>
      </c>
      <c r="L572" t="s">
        <v>112</v>
      </c>
      <c r="M572" s="4" t="s">
        <v>136</v>
      </c>
    </row>
    <row r="573" spans="7:13">
      <c r="G573" s="1" t="s">
        <v>151</v>
      </c>
      <c r="H573" s="1" t="s">
        <v>42</v>
      </c>
      <c r="I573" s="3">
        <v>0.5</v>
      </c>
      <c r="J573" s="3">
        <v>19800</v>
      </c>
      <c r="K573" s="4" t="s">
        <v>754</v>
      </c>
      <c r="L573" t="s">
        <v>755</v>
      </c>
      <c r="M573" s="4" t="s">
        <v>136</v>
      </c>
    </row>
    <row r="574" spans="7:13">
      <c r="G574" s="1" t="s">
        <v>153</v>
      </c>
      <c r="H574" s="1" t="s">
        <v>42</v>
      </c>
      <c r="I574" s="3">
        <v>0.5</v>
      </c>
      <c r="J574" s="3">
        <v>20400</v>
      </c>
      <c r="K574" s="4" t="s">
        <v>756</v>
      </c>
      <c r="L574" t="s">
        <v>757</v>
      </c>
      <c r="M574" s="4" t="s">
        <v>136</v>
      </c>
    </row>
    <row r="575" spans="7:13">
      <c r="G575" s="1" t="s">
        <v>155</v>
      </c>
      <c r="H575" s="1" t="s">
        <v>42</v>
      </c>
      <c r="I575" s="3">
        <v>0.5</v>
      </c>
      <c r="J575" s="3">
        <v>21000</v>
      </c>
      <c r="K575" s="4" t="s">
        <v>758</v>
      </c>
      <c r="L575" t="s">
        <v>117</v>
      </c>
      <c r="M575" s="4" t="s">
        <v>157</v>
      </c>
    </row>
    <row r="576" spans="7:13">
      <c r="G576" s="1" t="s">
        <v>158</v>
      </c>
      <c r="H576" s="1" t="s">
        <v>44</v>
      </c>
      <c r="I576" s="3">
        <v>0.4</v>
      </c>
      <c r="J576" s="3">
        <v>21700</v>
      </c>
      <c r="K576" s="4" t="s">
        <v>759</v>
      </c>
      <c r="L576" t="s">
        <v>760</v>
      </c>
      <c r="M576" s="4" t="s">
        <v>157</v>
      </c>
    </row>
    <row r="577" spans="7:13">
      <c r="G577" s="1" t="s">
        <v>160</v>
      </c>
      <c r="H577" s="1" t="s">
        <v>44</v>
      </c>
      <c r="I577" s="3">
        <v>0.4</v>
      </c>
      <c r="J577" s="3">
        <v>22400</v>
      </c>
      <c r="K577" s="4" t="s">
        <v>761</v>
      </c>
      <c r="L577" t="s">
        <v>762</v>
      </c>
      <c r="M577" s="4" t="s">
        <v>157</v>
      </c>
    </row>
    <row r="578" spans="7:13">
      <c r="G578" s="1" t="s">
        <v>162</v>
      </c>
      <c r="H578" s="1" t="s">
        <v>44</v>
      </c>
      <c r="I578" s="3">
        <v>0.4</v>
      </c>
      <c r="J578" s="3">
        <v>23100</v>
      </c>
      <c r="K578" s="4" t="s">
        <v>763</v>
      </c>
      <c r="L578" t="s">
        <v>764</v>
      </c>
      <c r="M578" s="4" t="s">
        <v>157</v>
      </c>
    </row>
    <row r="579" spans="7:13">
      <c r="G579" s="1" t="s">
        <v>164</v>
      </c>
      <c r="H579" s="1" t="s">
        <v>44</v>
      </c>
      <c r="I579" s="3">
        <v>0.4</v>
      </c>
      <c r="J579" s="3">
        <v>23800</v>
      </c>
      <c r="K579" s="4" t="s">
        <v>765</v>
      </c>
      <c r="L579" t="s">
        <v>766</v>
      </c>
      <c r="M579" s="4" t="s">
        <v>157</v>
      </c>
    </row>
    <row r="580" spans="7:13">
      <c r="G580" s="1" t="s">
        <v>166</v>
      </c>
      <c r="H580" s="1" t="s">
        <v>44</v>
      </c>
      <c r="I580" s="3">
        <v>0.4</v>
      </c>
      <c r="J580" s="3">
        <v>24500</v>
      </c>
      <c r="K580" s="4" t="s">
        <v>767</v>
      </c>
      <c r="L580" t="s">
        <v>768</v>
      </c>
      <c r="M580" s="4" t="s">
        <v>157</v>
      </c>
    </row>
    <row r="581" spans="7:13">
      <c r="G581" s="1" t="s">
        <v>168</v>
      </c>
      <c r="H581" s="1" t="s">
        <v>44</v>
      </c>
      <c r="I581" s="3">
        <v>0.4</v>
      </c>
      <c r="J581" s="3">
        <v>25200</v>
      </c>
      <c r="K581" s="4" t="s">
        <v>769</v>
      </c>
      <c r="L581" t="s">
        <v>770</v>
      </c>
      <c r="M581" s="4" t="s">
        <v>157</v>
      </c>
    </row>
    <row r="582" spans="7:13">
      <c r="G582" s="1" t="s">
        <v>170</v>
      </c>
      <c r="H582" s="1" t="s">
        <v>44</v>
      </c>
      <c r="I582" s="3">
        <v>0.4</v>
      </c>
      <c r="J582" s="3">
        <v>25900</v>
      </c>
      <c r="K582" s="4" t="s">
        <v>771</v>
      </c>
      <c r="L582" t="s">
        <v>772</v>
      </c>
      <c r="M582" s="4" t="s">
        <v>157</v>
      </c>
    </row>
    <row r="583" spans="7:13">
      <c r="G583" s="1" t="s">
        <v>172</v>
      </c>
      <c r="H583" s="1" t="s">
        <v>44</v>
      </c>
      <c r="I583" s="3">
        <v>0.4</v>
      </c>
      <c r="J583" s="3">
        <v>26600</v>
      </c>
      <c r="K583" s="4" t="s">
        <v>773</v>
      </c>
      <c r="L583" t="s">
        <v>774</v>
      </c>
      <c r="M583" s="4" t="s">
        <v>157</v>
      </c>
    </row>
    <row r="584" spans="7:13">
      <c r="G584" s="1" t="s">
        <v>174</v>
      </c>
      <c r="H584" s="1" t="s">
        <v>44</v>
      </c>
      <c r="I584" s="3">
        <v>0.4</v>
      </c>
      <c r="J584" s="3">
        <v>27300</v>
      </c>
      <c r="K584" s="4" t="s">
        <v>775</v>
      </c>
      <c r="L584" t="s">
        <v>776</v>
      </c>
      <c r="M584" s="4" t="s">
        <v>157</v>
      </c>
    </row>
    <row r="585" spans="7:13">
      <c r="G585" s="1" t="s">
        <v>176</v>
      </c>
      <c r="H585" s="1" t="s">
        <v>44</v>
      </c>
      <c r="I585" s="3">
        <v>0.4</v>
      </c>
      <c r="J585" s="3">
        <v>28000</v>
      </c>
      <c r="K585" s="4" t="s">
        <v>777</v>
      </c>
      <c r="L585" t="s">
        <v>131</v>
      </c>
      <c r="M585" s="4" t="s">
        <v>178</v>
      </c>
    </row>
    <row r="586" spans="7:13">
      <c r="G586" s="1" t="s">
        <v>179</v>
      </c>
      <c r="H586" s="1" t="s">
        <v>46</v>
      </c>
      <c r="I586" s="3">
        <v>0.3</v>
      </c>
      <c r="J586" s="3">
        <v>28800</v>
      </c>
      <c r="K586" s="4" t="s">
        <v>778</v>
      </c>
      <c r="L586" t="s">
        <v>779</v>
      </c>
      <c r="M586" s="4" t="s">
        <v>178</v>
      </c>
    </row>
    <row r="587" spans="7:13">
      <c r="G587" s="1" t="s">
        <v>181</v>
      </c>
      <c r="H587" s="1" t="s">
        <v>46</v>
      </c>
      <c r="I587" s="3">
        <v>0.3</v>
      </c>
      <c r="J587" s="3">
        <v>29600</v>
      </c>
      <c r="K587" s="4" t="s">
        <v>780</v>
      </c>
      <c r="L587" t="s">
        <v>781</v>
      </c>
      <c r="M587" s="4" t="s">
        <v>178</v>
      </c>
    </row>
    <row r="588" spans="7:13">
      <c r="G588" s="1" t="s">
        <v>183</v>
      </c>
      <c r="H588" s="1" t="s">
        <v>46</v>
      </c>
      <c r="I588" s="3">
        <v>0.3</v>
      </c>
      <c r="J588" s="3">
        <v>30400</v>
      </c>
      <c r="K588" s="4" t="s">
        <v>782</v>
      </c>
      <c r="L588" t="s">
        <v>783</v>
      </c>
      <c r="M588" s="4" t="s">
        <v>178</v>
      </c>
    </row>
    <row r="589" spans="7:13">
      <c r="G589" s="1" t="s">
        <v>185</v>
      </c>
      <c r="H589" s="1" t="s">
        <v>46</v>
      </c>
      <c r="I589" s="3">
        <v>0.3</v>
      </c>
      <c r="J589" s="3">
        <v>31200</v>
      </c>
      <c r="K589" s="4" t="s">
        <v>784</v>
      </c>
      <c r="L589" t="s">
        <v>138</v>
      </c>
      <c r="M589" s="4" t="s">
        <v>178</v>
      </c>
    </row>
    <row r="590" spans="7:13">
      <c r="G590" s="1" t="s">
        <v>187</v>
      </c>
      <c r="H590" s="1" t="s">
        <v>46</v>
      </c>
      <c r="I590" s="3">
        <v>0.3</v>
      </c>
      <c r="J590" s="3">
        <v>32000</v>
      </c>
      <c r="K590" s="4" t="s">
        <v>785</v>
      </c>
      <c r="L590" t="s">
        <v>786</v>
      </c>
      <c r="M590" s="4" t="s">
        <v>178</v>
      </c>
    </row>
    <row r="591" spans="7:13">
      <c r="G591" s="1" t="s">
        <v>189</v>
      </c>
      <c r="H591" s="1" t="s">
        <v>46</v>
      </c>
      <c r="I591" s="3">
        <v>0.3</v>
      </c>
      <c r="J591" s="3">
        <v>32800</v>
      </c>
      <c r="K591" s="4" t="s">
        <v>787</v>
      </c>
      <c r="L591" t="s">
        <v>788</v>
      </c>
      <c r="M591" s="4" t="s">
        <v>178</v>
      </c>
    </row>
    <row r="592" spans="7:13">
      <c r="G592" s="1" t="s">
        <v>191</v>
      </c>
      <c r="H592" s="1" t="s">
        <v>46</v>
      </c>
      <c r="I592" s="3">
        <v>0.3</v>
      </c>
      <c r="J592" s="3">
        <v>33600</v>
      </c>
      <c r="K592" s="4" t="s">
        <v>789</v>
      </c>
      <c r="L592" t="s">
        <v>142</v>
      </c>
      <c r="M592" s="4" t="s">
        <v>178</v>
      </c>
    </row>
    <row r="593" spans="7:13">
      <c r="G593" s="1" t="s">
        <v>193</v>
      </c>
      <c r="H593" s="1" t="s">
        <v>46</v>
      </c>
      <c r="I593" s="3">
        <v>0.3</v>
      </c>
      <c r="J593" s="3">
        <v>34400</v>
      </c>
      <c r="K593" s="4" t="s">
        <v>790</v>
      </c>
      <c r="L593" t="s">
        <v>791</v>
      </c>
      <c r="M593" s="4" t="s">
        <v>178</v>
      </c>
    </row>
    <row r="594" spans="7:13">
      <c r="G594" s="1" t="s">
        <v>195</v>
      </c>
      <c r="H594" s="1" t="s">
        <v>46</v>
      </c>
      <c r="I594" s="3">
        <v>0.3</v>
      </c>
      <c r="J594" s="3">
        <v>35200</v>
      </c>
      <c r="K594" s="4" t="s">
        <v>792</v>
      </c>
      <c r="L594" t="s">
        <v>793</v>
      </c>
      <c r="M594" s="4" t="s">
        <v>178</v>
      </c>
    </row>
    <row r="595" spans="7:13">
      <c r="G595" s="1" t="s">
        <v>197</v>
      </c>
      <c r="H595" s="1" t="s">
        <v>46</v>
      </c>
      <c r="I595" s="3">
        <v>0.3</v>
      </c>
      <c r="J595" s="3">
        <v>36000</v>
      </c>
      <c r="K595" s="4" t="s">
        <v>794</v>
      </c>
      <c r="L595" t="s">
        <v>146</v>
      </c>
      <c r="M595" s="4" t="s">
        <v>199</v>
      </c>
    </row>
    <row r="596" spans="7:13">
      <c r="G596" s="1" t="s">
        <v>200</v>
      </c>
      <c r="H596" s="1" t="s">
        <v>48</v>
      </c>
      <c r="I596" s="3">
        <v>0.2</v>
      </c>
      <c r="J596" s="3">
        <v>36900</v>
      </c>
      <c r="K596" s="4" t="s">
        <v>795</v>
      </c>
      <c r="L596" t="s">
        <v>796</v>
      </c>
      <c r="M596" s="4" t="s">
        <v>199</v>
      </c>
    </row>
    <row r="597" spans="7:13">
      <c r="G597" s="1" t="s">
        <v>202</v>
      </c>
      <c r="H597" s="1" t="s">
        <v>48</v>
      </c>
      <c r="I597" s="3">
        <v>0.2</v>
      </c>
      <c r="J597" s="3">
        <v>37800</v>
      </c>
      <c r="K597" s="4" t="s">
        <v>797</v>
      </c>
      <c r="L597" t="s">
        <v>798</v>
      </c>
      <c r="M597" s="4" t="s">
        <v>199</v>
      </c>
    </row>
    <row r="598" spans="7:13">
      <c r="G598" s="1" t="s">
        <v>204</v>
      </c>
      <c r="H598" s="1" t="s">
        <v>48</v>
      </c>
      <c r="I598" s="3">
        <v>0.2</v>
      </c>
      <c r="J598" s="3">
        <v>38700</v>
      </c>
      <c r="K598" s="4" t="s">
        <v>799</v>
      </c>
      <c r="L598" t="s">
        <v>800</v>
      </c>
      <c r="M598" s="4" t="s">
        <v>199</v>
      </c>
    </row>
    <row r="599" spans="7:13">
      <c r="G599" s="1" t="s">
        <v>206</v>
      </c>
      <c r="H599" s="1" t="s">
        <v>48</v>
      </c>
      <c r="I599" s="3">
        <v>0.2</v>
      </c>
      <c r="J599" s="3">
        <v>39600</v>
      </c>
      <c r="K599" s="4" t="s">
        <v>801</v>
      </c>
      <c r="L599" t="s">
        <v>152</v>
      </c>
      <c r="M599" s="4" t="s">
        <v>199</v>
      </c>
    </row>
    <row r="600" spans="7:13">
      <c r="G600" s="1" t="s">
        <v>208</v>
      </c>
      <c r="H600" s="1" t="s">
        <v>48</v>
      </c>
      <c r="I600" s="3">
        <v>0.2</v>
      </c>
      <c r="J600" s="3">
        <v>40500</v>
      </c>
      <c r="K600" s="4" t="s">
        <v>802</v>
      </c>
      <c r="L600" t="s">
        <v>803</v>
      </c>
      <c r="M600" s="4" t="s">
        <v>199</v>
      </c>
    </row>
    <row r="601" spans="7:13">
      <c r="G601" s="1" t="s">
        <v>210</v>
      </c>
      <c r="H601" s="1" t="s">
        <v>48</v>
      </c>
      <c r="I601" s="3">
        <v>0.2</v>
      </c>
      <c r="J601" s="3">
        <v>41400</v>
      </c>
      <c r="K601" s="4" t="s">
        <v>804</v>
      </c>
      <c r="L601" t="s">
        <v>805</v>
      </c>
      <c r="M601" s="4" t="s">
        <v>199</v>
      </c>
    </row>
    <row r="602" spans="7:13">
      <c r="G602" s="1" t="s">
        <v>212</v>
      </c>
      <c r="H602" s="1" t="s">
        <v>48</v>
      </c>
      <c r="I602" s="3">
        <v>0.2</v>
      </c>
      <c r="J602" s="3">
        <v>42300</v>
      </c>
      <c r="K602" s="4" t="s">
        <v>806</v>
      </c>
      <c r="L602" t="s">
        <v>807</v>
      </c>
      <c r="M602" s="4" t="s">
        <v>199</v>
      </c>
    </row>
    <row r="603" spans="7:13">
      <c r="G603" s="1" t="s">
        <v>214</v>
      </c>
      <c r="H603" s="1" t="s">
        <v>48</v>
      </c>
      <c r="I603" s="3">
        <v>0.2</v>
      </c>
      <c r="J603" s="3">
        <v>43200</v>
      </c>
      <c r="K603" s="4" t="s">
        <v>808</v>
      </c>
      <c r="L603" t="s">
        <v>809</v>
      </c>
      <c r="M603" s="4" t="s">
        <v>199</v>
      </c>
    </row>
    <row r="604" spans="7:13">
      <c r="G604" s="1" t="s">
        <v>216</v>
      </c>
      <c r="H604" s="1" t="s">
        <v>48</v>
      </c>
      <c r="I604" s="3">
        <v>0.2</v>
      </c>
      <c r="J604" s="3">
        <v>44100</v>
      </c>
      <c r="K604" s="4" t="s">
        <v>810</v>
      </c>
      <c r="L604" t="s">
        <v>811</v>
      </c>
      <c r="M604" s="4" t="s">
        <v>199</v>
      </c>
    </row>
    <row r="605" spans="7:13">
      <c r="G605" s="1" t="s">
        <v>218</v>
      </c>
      <c r="H605" s="1" t="s">
        <v>48</v>
      </c>
      <c r="I605" s="3">
        <v>0.2</v>
      </c>
      <c r="J605" s="3">
        <v>45000</v>
      </c>
      <c r="K605" s="4" t="s">
        <v>812</v>
      </c>
      <c r="L605" t="s">
        <v>813</v>
      </c>
      <c r="M605" s="4" t="s">
        <v>220</v>
      </c>
    </row>
    <row r="606" spans="7:13">
      <c r="G606" s="1" t="s">
        <v>221</v>
      </c>
      <c r="H606" s="1" t="s">
        <v>50</v>
      </c>
      <c r="I606" s="3">
        <v>0.1</v>
      </c>
      <c r="J606" s="3">
        <v>46000</v>
      </c>
      <c r="K606" s="4" t="s">
        <v>814</v>
      </c>
      <c r="L606" t="s">
        <v>815</v>
      </c>
      <c r="M606" s="4" t="s">
        <v>220</v>
      </c>
    </row>
    <row r="607" spans="7:13">
      <c r="G607" s="1" t="s">
        <v>223</v>
      </c>
      <c r="H607" s="1" t="s">
        <v>50</v>
      </c>
      <c r="I607" s="3">
        <v>0.1</v>
      </c>
      <c r="J607" s="3">
        <v>47000</v>
      </c>
      <c r="K607" s="4" t="s">
        <v>816</v>
      </c>
      <c r="L607" t="s">
        <v>817</v>
      </c>
      <c r="M607" s="4" t="s">
        <v>220</v>
      </c>
    </row>
    <row r="608" spans="7:13">
      <c r="G608" s="1" t="s">
        <v>225</v>
      </c>
      <c r="H608" s="1" t="s">
        <v>50</v>
      </c>
      <c r="I608" s="3">
        <v>0.1</v>
      </c>
      <c r="J608" s="3">
        <v>48000</v>
      </c>
      <c r="K608" s="4" t="s">
        <v>818</v>
      </c>
      <c r="L608" t="s">
        <v>819</v>
      </c>
      <c r="M608" s="4" t="s">
        <v>220</v>
      </c>
    </row>
    <row r="609" spans="7:13">
      <c r="G609" s="1" t="s">
        <v>227</v>
      </c>
      <c r="H609" s="1" t="s">
        <v>50</v>
      </c>
      <c r="I609" s="3">
        <v>0.1</v>
      </c>
      <c r="J609" s="3">
        <v>49000</v>
      </c>
      <c r="K609" s="4" t="s">
        <v>820</v>
      </c>
      <c r="L609" t="s">
        <v>167</v>
      </c>
      <c r="M609" s="4" t="s">
        <v>220</v>
      </c>
    </row>
    <row r="610" spans="7:13">
      <c r="G610" s="1" t="s">
        <v>229</v>
      </c>
      <c r="H610" s="1" t="s">
        <v>50</v>
      </c>
      <c r="I610" s="3">
        <v>0.1</v>
      </c>
      <c r="J610" s="3">
        <v>50000</v>
      </c>
      <c r="K610" s="4" t="s">
        <v>821</v>
      </c>
      <c r="L610" t="s">
        <v>822</v>
      </c>
      <c r="M610" s="4" t="s">
        <v>220</v>
      </c>
    </row>
    <row r="611" spans="7:13">
      <c r="G611" s="1" t="s">
        <v>231</v>
      </c>
      <c r="H611" s="1" t="s">
        <v>50</v>
      </c>
      <c r="I611" s="3">
        <v>0.1</v>
      </c>
      <c r="J611" s="3">
        <v>51000</v>
      </c>
      <c r="K611" s="4" t="s">
        <v>823</v>
      </c>
      <c r="L611" t="s">
        <v>824</v>
      </c>
      <c r="M611" s="4" t="s">
        <v>220</v>
      </c>
    </row>
    <row r="612" spans="7:13">
      <c r="G612" s="1" t="s">
        <v>233</v>
      </c>
      <c r="H612" s="1" t="s">
        <v>50</v>
      </c>
      <c r="I612" s="3">
        <v>0.1</v>
      </c>
      <c r="J612" s="3">
        <v>52000</v>
      </c>
      <c r="K612" s="4" t="s">
        <v>825</v>
      </c>
      <c r="L612" t="s">
        <v>826</v>
      </c>
      <c r="M612" s="4" t="s">
        <v>220</v>
      </c>
    </row>
    <row r="613" spans="7:13">
      <c r="G613" s="1" t="s">
        <v>235</v>
      </c>
      <c r="H613" s="1" t="s">
        <v>50</v>
      </c>
      <c r="I613" s="3">
        <v>0.1</v>
      </c>
      <c r="J613" s="3">
        <v>53000</v>
      </c>
      <c r="K613" s="4" t="s">
        <v>827</v>
      </c>
      <c r="L613" t="s">
        <v>828</v>
      </c>
      <c r="M613" s="4" t="s">
        <v>220</v>
      </c>
    </row>
    <row r="614" spans="7:13">
      <c r="G614" s="1" t="s">
        <v>237</v>
      </c>
      <c r="H614" s="1" t="s">
        <v>50</v>
      </c>
      <c r="I614" s="3">
        <v>0.1</v>
      </c>
      <c r="J614" s="3">
        <v>54000</v>
      </c>
      <c r="K614" s="4" t="s">
        <v>829</v>
      </c>
      <c r="L614" t="s">
        <v>830</v>
      </c>
      <c r="M614" s="4" t="s">
        <v>220</v>
      </c>
    </row>
    <row r="615" spans="7:13">
      <c r="G615" s="1" t="s">
        <v>239</v>
      </c>
      <c r="H615" s="1" t="s">
        <v>50</v>
      </c>
      <c r="I615" s="3">
        <v>0.1</v>
      </c>
      <c r="J615" s="3">
        <v>55000</v>
      </c>
      <c r="K615" s="4" t="s">
        <v>831</v>
      </c>
      <c r="L615" t="s">
        <v>832</v>
      </c>
      <c r="M615" s="4"/>
    </row>
  </sheetData>
  <mergeCells count="1">
    <mergeCell ref="G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2026-08-11T07:52:57Z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