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15" windowHeight="165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第一位是皮肤，第二位是技能</t>
        </r>
      </text>
    </comment>
  </commentList>
</comments>
</file>

<file path=xl/sharedStrings.xml><?xml version="1.0" encoding="utf-8"?>
<sst xmlns="http://schemas.openxmlformats.org/spreadsheetml/2006/main" count="3371" uniqueCount="352">
  <si>
    <t>##var</t>
  </si>
  <si>
    <t>Id</t>
  </si>
  <si>
    <t>UnLockDesc</t>
  </si>
  <si>
    <t>*LevelPropertyList</t>
  </si>
  <si>
    <t>##+</t>
  </si>
  <si>
    <t>Level</t>
  </si>
  <si>
    <t>Exp</t>
  </si>
  <si>
    <t>Name</t>
  </si>
  <si>
    <t>ConsumeItems</t>
  </si>
  <si>
    <t>AwakeningConsume</t>
  </si>
  <si>
    <t>AwakeningRewards</t>
  </si>
  <si>
    <t>TakeRewards</t>
  </si>
  <si>
    <t>Special_Description_Level</t>
  </si>
  <si>
    <t>UpGradeEffectsDesc</t>
  </si>
  <si>
    <t>UpQualityDesc</t>
  </si>
  <si>
    <t>UpGradeRewardDes</t>
  </si>
  <si>
    <t>##</t>
  </si>
  <si>
    <t>卡牌ID</t>
  </si>
  <si>
    <t>英灵卡解锁描述</t>
  </si>
  <si>
    <t>等级</t>
  </si>
  <si>
    <t>升级经验值</t>
  </si>
  <si>
    <t>名称</t>
  </si>
  <si>
    <t>升级消耗</t>
  </si>
  <si>
    <t>觉醒消耗</t>
  </si>
  <si>
    <t>觉醒奖励</t>
  </si>
  <si>
    <t>解锁道具</t>
  </si>
  <si>
    <t>显示特殊等级</t>
  </si>
  <si>
    <t>升级效果描述</t>
  </si>
  <si>
    <t>升品效果描述</t>
  </si>
  <si>
    <t>升级赠送奖励描述</t>
  </si>
  <si>
    <t>英灵</t>
  </si>
  <si>
    <t>翎</t>
  </si>
  <si>
    <t>2010001</t>
  </si>
  <si>
    <t>未解锁</t>
  </si>
  <si>
    <t>1</t>
  </si>
  <si>
    <t>力量+2,智力+1,敏捷+8</t>
  </si>
  <si>
    <t>2</t>
  </si>
  <si>
    <t>3</t>
  </si>
  <si>
    <t>4</t>
  </si>
  <si>
    <t>5</t>
  </si>
  <si>
    <t>伊莱娅5级获得</t>
  </si>
  <si>
    <t>6</t>
  </si>
  <si>
    <t>7</t>
  </si>
  <si>
    <t>8</t>
  </si>
  <si>
    <t>9</t>
  </si>
  <si>
    <t>10</t>
  </si>
  <si>
    <t>伊莱娅10级获得</t>
  </si>
  <si>
    <t>11</t>
  </si>
  <si>
    <t>12</t>
  </si>
  <si>
    <t>13</t>
  </si>
  <si>
    <t>14</t>
  </si>
  <si>
    <t>15</t>
  </si>
  <si>
    <t>伊莱娅15级获得</t>
  </si>
  <si>
    <t>16</t>
  </si>
  <si>
    <t>17</t>
  </si>
  <si>
    <t>18</t>
  </si>
  <si>
    <t>19</t>
  </si>
  <si>
    <t>20</t>
  </si>
  <si>
    <t>伊莱娅20级获得</t>
  </si>
  <si>
    <t>21</t>
  </si>
  <si>
    <t>22</t>
  </si>
  <si>
    <t>23</t>
  </si>
  <si>
    <t>24</t>
  </si>
  <si>
    <t>25</t>
  </si>
  <si>
    <t>伊莱娅25级获得</t>
  </si>
  <si>
    <t>26</t>
  </si>
  <si>
    <t>27</t>
  </si>
  <si>
    <t>28</t>
  </si>
  <si>
    <t>29</t>
  </si>
  <si>
    <t>30</t>
  </si>
  <si>
    <t>伊莱娅30级获得</t>
  </si>
  <si>
    <t>31</t>
  </si>
  <si>
    <t>32</t>
  </si>
  <si>
    <t>33</t>
  </si>
  <si>
    <t>34</t>
  </si>
  <si>
    <t>35</t>
  </si>
  <si>
    <t>伊莱娅35级获得</t>
  </si>
  <si>
    <t>36</t>
  </si>
  <si>
    <t>37</t>
  </si>
  <si>
    <t>38</t>
  </si>
  <si>
    <t>39</t>
  </si>
  <si>
    <t>40</t>
  </si>
  <si>
    <t>1024002_40</t>
  </si>
  <si>
    <t>伊莱娅40级获得</t>
  </si>
  <si>
    <t>41</t>
  </si>
  <si>
    <t>42</t>
  </si>
  <si>
    <t>43</t>
  </si>
  <si>
    <t>44</t>
  </si>
  <si>
    <t>45</t>
  </si>
  <si>
    <t>伊莱娅45级获得</t>
  </si>
  <si>
    <t>46</t>
  </si>
  <si>
    <t>47</t>
  </si>
  <si>
    <t>48</t>
  </si>
  <si>
    <t>49</t>
  </si>
  <si>
    <t>50</t>
  </si>
  <si>
    <t>伊莱娅50级获得</t>
  </si>
  <si>
    <t>琰</t>
  </si>
  <si>
    <t>2010002</t>
  </si>
  <si>
    <t>西岚</t>
  </si>
  <si>
    <t>2020001</t>
  </si>
  <si>
    <t>力量+6,智力+1,敏捷+4</t>
  </si>
  <si>
    <t>西岚5级获得</t>
  </si>
  <si>
    <t>西岚10级获得</t>
  </si>
  <si>
    <t>西岚15级获得</t>
  </si>
  <si>
    <t>西岚20级获得</t>
  </si>
  <si>
    <t>西岚25级获得</t>
  </si>
  <si>
    <t>西岚30级获得</t>
  </si>
  <si>
    <t>西岚35级获得</t>
  </si>
  <si>
    <t>西岚40级获得</t>
  </si>
  <si>
    <t>西岚45级获得</t>
  </si>
  <si>
    <t>西岚50级获得</t>
  </si>
  <si>
    <t>露嘉</t>
  </si>
  <si>
    <t>2030001</t>
  </si>
  <si>
    <t>力量+2,智力+10,敏捷+1</t>
  </si>
  <si>
    <t>露嘉5级获得</t>
  </si>
  <si>
    <t>露嘉10级获得</t>
  </si>
  <si>
    <t>露嘉15级获得</t>
  </si>
  <si>
    <t>露嘉20级获得</t>
  </si>
  <si>
    <t>露嘉25级获得</t>
  </si>
  <si>
    <t>露嘉30级获得</t>
  </si>
  <si>
    <t>露嘉35级获得</t>
  </si>
  <si>
    <t>露嘉40级获得</t>
  </si>
  <si>
    <t>露嘉45级获得</t>
  </si>
  <si>
    <t>露嘉50级获得</t>
  </si>
  <si>
    <t>卡琳</t>
  </si>
  <si>
    <t>2040001</t>
  </si>
  <si>
    <t>力量:10,智力:21,敏捷:62</t>
  </si>
  <si>
    <t>力量+8,智力+11,敏捷+30</t>
  </si>
  <si>
    <t>力量+10,智力+10,敏捷+36</t>
  </si>
  <si>
    <t>力量+7,智力+13,敏捷+36</t>
  </si>
  <si>
    <t>力量+8,智力+11,敏捷+37</t>
  </si>
  <si>
    <t>力量+10,智力+13,敏捷+43</t>
  </si>
  <si>
    <t>力量+10,智力+13,敏捷+39</t>
  </si>
  <si>
    <t>力量+10,智力+13,敏捷+42</t>
  </si>
  <si>
    <t>力量+7,智力+13,敏捷+39</t>
  </si>
  <si>
    <t>力量+10,智力+16,敏捷+42</t>
  </si>
  <si>
    <t>力量+8,智力+13,敏捷+43</t>
  </si>
  <si>
    <t>力量+13,智力+16,敏捷+46</t>
  </si>
  <si>
    <t>力量+10,智力+16,敏捷+49</t>
  </si>
  <si>
    <t>力量+10,智力+13,敏捷+49</t>
  </si>
  <si>
    <t>力量+12,智力+16,敏捷+48</t>
  </si>
  <si>
    <t>力量+13,智力+19,敏捷+61</t>
  </si>
  <si>
    <t>力量+13,智力+20,敏捷+59</t>
  </si>
  <si>
    <t>力量+13,智力+20,敏捷+60</t>
  </si>
  <si>
    <t>伊莱娅</t>
  </si>
  <si>
    <t>2050001</t>
  </si>
  <si>
    <t>技能</t>
  </si>
  <si>
    <t>分裂箭</t>
  </si>
  <si>
    <t>2110102</t>
  </si>
  <si>
    <t>1010001_500|1024001_1</t>
  </si>
  <si>
    <t>1010001_600|1024001_2</t>
  </si>
  <si>
    <t>1010001_700|1024001_3</t>
  </si>
  <si>
    <t>1010001_800|1024001_4</t>
  </si>
  <si>
    <t>1010001_900|1024001_5</t>
  </si>
  <si>
    <t>1010001_1000|1024001_6</t>
  </si>
  <si>
    <t>1010001_1100|1024001_7</t>
  </si>
  <si>
    <t>1010001_1200|1024001_8</t>
  </si>
  <si>
    <t>1010001_1500|1024001_10</t>
  </si>
  <si>
    <t>1010001_2000|1024001_15</t>
  </si>
  <si>
    <t>分裂箭的数量+1</t>
  </si>
  <si>
    <t>1010001_2500|1024001_20</t>
  </si>
  <si>
    <t>1010001_3000|1024001_25</t>
  </si>
  <si>
    <t>1010001_3500|1024001_30</t>
  </si>
  <si>
    <t>1010001_4000|1024001_35</t>
  </si>
  <si>
    <t>1010001_4500|1024001_40</t>
  </si>
  <si>
    <t>1010001_5000|1024001_45</t>
  </si>
  <si>
    <t>1010001_5500|1024001_50</t>
  </si>
  <si>
    <t>1010001_6000|1024001_55</t>
  </si>
  <si>
    <t>1010001_7000|1024001_60</t>
  </si>
  <si>
    <t>1010001_8000|1024001_70</t>
  </si>
  <si>
    <t>分裂箭造成的伤害+20%</t>
  </si>
  <si>
    <t>1010001_9000|1024001_80</t>
  </si>
  <si>
    <t>1010001_10000|1024001_90</t>
  </si>
  <si>
    <t>1010001_11000|1024001_100</t>
  </si>
  <si>
    <t>1010001_12000|1024001_110</t>
  </si>
  <si>
    <t>1010001_13000|1024001_120</t>
  </si>
  <si>
    <t>1010001_14000|1024001_130</t>
  </si>
  <si>
    <t>1010001_15000|1024001_140</t>
  </si>
  <si>
    <t>1010001_16000|1024001_150</t>
  </si>
  <si>
    <t>1010001_17000|1024001_160</t>
  </si>
  <si>
    <t>1010001_19000|1024001_200</t>
  </si>
  <si>
    <t>1010001_21000|1024001_250</t>
  </si>
  <si>
    <t>1010001_23000|1024001_300</t>
  </si>
  <si>
    <t>1010001_25000|1024001_350</t>
  </si>
  <si>
    <t>1010001_27000|1024001_400</t>
  </si>
  <si>
    <t>1010001_29000|1024001_450</t>
  </si>
  <si>
    <t>1010001_31000|1024001_500</t>
  </si>
  <si>
    <t>1010001_33000|1024001_550</t>
  </si>
  <si>
    <t>1010001_35000|1024001_600</t>
  </si>
  <si>
    <t>1010001_37000|1024001_650</t>
  </si>
  <si>
    <t>1010001_42000|1024001_750</t>
  </si>
  <si>
    <t>分裂箭的数量+1,分裂箭造成的伤害+20%</t>
  </si>
  <si>
    <t>1010001_47000|1024001_850</t>
  </si>
  <si>
    <t>1010001_52000|1024001_950</t>
  </si>
  <si>
    <t>1010001_57000|1024001_1050</t>
  </si>
  <si>
    <t>1010001_62000|1024001_1150</t>
  </si>
  <si>
    <t>1010001_67000|1024001_1250</t>
  </si>
  <si>
    <t>1010001_72000|1024001_1350</t>
  </si>
  <si>
    <t>1010001_77000|1024001_1450</t>
  </si>
  <si>
    <t>1010001_82000|1024001_1550</t>
  </si>
  <si>
    <t>1010001_87000|1024001_1650</t>
  </si>
  <si>
    <t>连弩</t>
  </si>
  <si>
    <t>2110103</t>
  </si>
  <si>
    <t>可以继承[分裂箭]</t>
  </si>
  <si>
    <t>可以附加[击退]效果</t>
  </si>
  <si>
    <t>额外释放一轮箭矢</t>
  </si>
  <si>
    <t>连弩发射速度+100%</t>
  </si>
  <si>
    <t>万箭齐发</t>
  </si>
  <si>
    <t>2110104</t>
  </si>
  <si>
    <t>稀有</t>
  </si>
  <si>
    <t>增加两枚箭矢</t>
  </si>
  <si>
    <t>削韧值效果提高,+20%继承攻击力</t>
  </si>
  <si>
    <t>附加[灼烧]效果,[灼烧]持续2秒,每秒造成1%（物理攻击力）的火属性伤害</t>
  </si>
  <si>
    <t>增加3枚箭矢,有10%概率[斩杀]生命值低于5%的敌人[BOSS怪除外]</t>
  </si>
  <si>
    <t>风之箭雨</t>
  </si>
  <si>
    <t>2110105</t>
  </si>
  <si>
    <t>伤害范围+50%</t>
  </si>
  <si>
    <t>持续时间+1秒</t>
  </si>
  <si>
    <t>对目标附件20%的护甲削弱</t>
  </si>
  <si>
    <t>技能在开始与结束时,会释放[雷击],造成攻击力*100%的魔法伤害</t>
  </si>
  <si>
    <t>分裂风暴</t>
  </si>
  <si>
    <t>2110106</t>
  </si>
  <si>
    <t>1010001_2000|1024005_10</t>
  </si>
  <si>
    <t>1010001_3000|1024005_15</t>
  </si>
  <si>
    <t>1010001_4000|1024005_20</t>
  </si>
  <si>
    <t>1010001_5000|1024005_25</t>
  </si>
  <si>
    <t>1010001_6000|1024005_30</t>
  </si>
  <si>
    <t>1010001_7000|1024005_35</t>
  </si>
  <si>
    <t>1010001_8000|1024005_40</t>
  </si>
  <si>
    <t>1010001_9000|1024005_45</t>
  </si>
  <si>
    <t>1010001_10000|1024005_50</t>
  </si>
  <si>
    <t>烈焰箭</t>
  </si>
  <si>
    <t>2110202</t>
  </si>
  <si>
    <t>[灼烧]+5%的法术强度效果</t>
  </si>
  <si>
    <t>[灼烧]可叠加层数+1</t>
  </si>
  <si>
    <t>[灼烧]+10%的法术强度效果</t>
  </si>
  <si>
    <t>[灼烧]可叠加层数+1,+20%的法术强度效果</t>
  </si>
  <si>
    <t>火焰之灵</t>
  </si>
  <si>
    <t>2110203</t>
  </si>
  <si>
    <t>史诗</t>
  </si>
  <si>
    <t>爆炸范围增加+25%</t>
  </si>
  <si>
    <t>继承魔法强度+20%</t>
  </si>
  <si>
    <t>爆炸范围增加+50%</t>
  </si>
  <si>
    <t>对[灼烧]的单位有额外增伤,每拥有1层灼烧效果,爆炸伤害+20%</t>
  </si>
  <si>
    <t>烈焰穿刺</t>
  </si>
  <si>
    <t>2110204</t>
  </si>
  <si>
    <t>传说</t>
  </si>
  <si>
    <t>会在发射地面上留下短暂的[火焰路径],[火焰路径][持续]3秒,每秒造成10%魔法强度的伤害</t>
  </si>
  <si>
    <t>[火焰路径]持续时间增加5秒</t>
  </si>
  <si>
    <t>[火焰路径]现在可以[灼烧]敌人,敌人每在[火焰路径]上超过1秒,叠加1层[灼烧]效果</t>
  </si>
  <si>
    <t>烈焰风暴</t>
  </si>
  <si>
    <t>2110205</t>
  </si>
  <si>
    <t>发射额外箭矢概率+25%</t>
  </si>
  <si>
    <t>持续时间+2秒</t>
  </si>
  <si>
    <t>攻击速度+200%</t>
  </si>
  <si>
    <t>火焰卷席</t>
  </si>
  <si>
    <t>2110206</t>
  </si>
  <si>
    <t>锋刃</t>
  </si>
  <si>
    <t>2120102</t>
  </si>
  <si>
    <t>最高叠加层数+1</t>
  </si>
  <si>
    <t>每次攻击附带额外10%的伤害</t>
  </si>
  <si>
    <t>天流斩</t>
  </si>
  <si>
    <t>2120103</t>
  </si>
  <si>
    <t>攻击范围+50%</t>
  </si>
  <si>
    <t>天流斩的斩击次数+3</t>
  </si>
  <si>
    <t>每次斩击附加敌人0.5%最大生命值的真实伤害</t>
  </si>
  <si>
    <t>增加100%继承攻击力</t>
  </si>
  <si>
    <t>拔刀斩</t>
  </si>
  <si>
    <t>2120104</t>
  </si>
  <si>
    <t>攻击范围+100%</t>
  </si>
  <si>
    <t>附加[击退]效果</t>
  </si>
  <si>
    <t>拔刀斩继承攻击力+100%</t>
  </si>
  <si>
    <t>被拔刀斩击杀的怪物会减少拔刀斩0.1秒冷却</t>
  </si>
  <si>
    <t>次元斩</t>
  </si>
  <si>
    <t>2120105</t>
  </si>
  <si>
    <t>技能范围+25%</t>
  </si>
  <si>
    <t>技能释放后出现剑气旋风</t>
  </si>
  <si>
    <t>继承攻击力+30%</t>
  </si>
  <si>
    <t>技能最终伤害+30%</t>
  </si>
  <si>
    <t>死神挥砍</t>
  </si>
  <si>
    <t>2120106</t>
  </si>
  <si>
    <t>超凡魔力</t>
  </si>
  <si>
    <t>2130102</t>
  </si>
  <si>
    <t>露嘉的所有技能伤害提高5%</t>
  </si>
  <si>
    <t>露嘉的所有技能冷却时间-5%</t>
  </si>
  <si>
    <t>露嘉的所有技能伤害提高10%</t>
  </si>
  <si>
    <t>露嘉的技能冷却时间-10%</t>
  </si>
  <si>
    <t>暗黑法球</t>
  </si>
  <si>
    <t>2130103</t>
  </si>
  <si>
    <t>法球大小+50%</t>
  </si>
  <si>
    <t>命中时会对敌人附加0.5秒[眩晕]效果</t>
  </si>
  <si>
    <t>命中时额外造成敌人最大生命3%的真实伤害</t>
  </si>
  <si>
    <t>幽邃之墙</t>
  </si>
  <si>
    <t>2130104</t>
  </si>
  <si>
    <t>减缓移动速度提高至70%</t>
  </si>
  <si>
    <t>额外造成敌人最大生命值3%的真实伤害</t>
  </si>
  <si>
    <t>暗影法阵</t>
  </si>
  <si>
    <t>2130105</t>
  </si>
  <si>
    <t>外圈范围+25%</t>
  </si>
  <si>
    <t>外圈范围+50%</t>
  </si>
  <si>
    <t>法阵的伤害频率提高至0.5秒</t>
  </si>
  <si>
    <t>外圈附加[吸附]效果</t>
  </si>
  <si>
    <t>魔法射线</t>
  </si>
  <si>
    <t>2130106</t>
  </si>
  <si>
    <t>暗杀者</t>
  </si>
  <si>
    <t>2140102</t>
  </si>
  <si>
    <t>技能必定暴击</t>
  </si>
  <si>
    <t>造成的暴击伤害+50%</t>
  </si>
  <si>
    <t>造成的暴击伤害+100%</t>
  </si>
  <si>
    <t>对虚弱状态下的敌人造成伤害时,自身技能-1秒冷却</t>
  </si>
  <si>
    <t>暗影刀锋</t>
  </si>
  <si>
    <t>2140103</t>
  </si>
  <si>
    <t>攻击力伤害加成+25%</t>
  </si>
  <si>
    <t>投掷匕首数量+1</t>
  </si>
  <si>
    <t>攻击力伤害加成+20%,匕首数量+1</t>
  </si>
  <si>
    <t>有5%的概率[斩杀]怪物(对精英/首领无效)</t>
  </si>
  <si>
    <t>暗影旋刃</t>
  </si>
  <si>
    <t>2140104</t>
  </si>
  <si>
    <t>对[精英]敌人造成2倍伤害</t>
  </si>
  <si>
    <t>攻击力伤害加成+50%</t>
  </si>
  <si>
    <t>对[首领]敌人造成2倍伤害</t>
  </si>
  <si>
    <t>有1%的概率[斩杀]怪物(对精英/首领无效)</t>
  </si>
  <si>
    <t>暗影强袭</t>
  </si>
  <si>
    <t>2140105</t>
  </si>
  <si>
    <t>攻击力伤害加成+100%</t>
  </si>
  <si>
    <t>暗影之舞</t>
  </si>
  <si>
    <t>2140106</t>
  </si>
  <si>
    <t>祈祷</t>
  </si>
  <si>
    <t>2150102</t>
  </si>
  <si>
    <t>额外提供攻击速度</t>
  </si>
  <si>
    <t>额外提供护甲、魔法抗性</t>
  </si>
  <si>
    <t>额外提供技能基础伤害</t>
  </si>
  <si>
    <t>额外提供暴击伤害加成</t>
  </si>
  <si>
    <t>抚痕灵愈</t>
  </si>
  <si>
    <t>2150103</t>
  </si>
  <si>
    <t>减少3秒冷却时间</t>
  </si>
  <si>
    <t>减少4秒冷却时间,增加25%魔法强度继承</t>
  </si>
  <si>
    <t>减少5秒冷却时间</t>
  </si>
  <si>
    <t>减少6秒冷却时间,增加30%魔法强度继承</t>
  </si>
  <si>
    <t>月影庇护</t>
  </si>
  <si>
    <t>2150104</t>
  </si>
  <si>
    <t>减少6秒冷却时间,+1次伤害抵挡</t>
  </si>
  <si>
    <t>减少7秒冷却时间</t>
  </si>
  <si>
    <t>减少8秒冷却时间,+1次伤害抵挡</t>
  </si>
  <si>
    <t>圣光坠落</t>
  </si>
  <si>
    <t>2150105</t>
  </si>
  <si>
    <t>魔法强度伤害加成+30%</t>
  </si>
  <si>
    <t>魔法强度伤害加成+50%</t>
  </si>
  <si>
    <t>减少10秒冷却时间</t>
  </si>
  <si>
    <t>在区域内的敌人被[眩晕],同时伤害频率提高至0.5秒</t>
  </si>
  <si>
    <t>能量倾注</t>
  </si>
  <si>
    <t>2150106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</si>
</sst>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35"/>
  <sheetViews>
    <sheetView tabSelected="1" workbookViewId="0">
      <pane xSplit="4" ySplit="3" topLeftCell="E124" activePane="bottomRight" state="frozen"/>
      <selection/>
      <selection pane="topRight"/>
      <selection pane="bottomLeft"/>
      <selection pane="bottomRight" activeCell="F128" sqref="F128"/>
    </sheetView>
  </sheetViews>
  <sheetFormatPr defaultColWidth="9" defaultRowHeight="13.5"/>
  <cols>
    <col min="1" max="1" width="9" style="2"/>
    <col min="2" max="2" width="8.375" style="2" customWidth="1"/>
    <col min="3" max="3" width="15.5" style="2" customWidth="1"/>
    <col min="4" max="4" width="2.375" style="2" customWidth="1"/>
    <col min="5" max="5" width="5.41666666666667" style="2" customWidth="1"/>
    <col min="6" max="6" width="10.3083333333333" style="2" customWidth="1"/>
    <col min="7" max="7" width="8.01666666666667" style="2" customWidth="1"/>
    <col min="8" max="8" width="26.625" style="2" customWidth="1"/>
    <col min="9" max="10" width="18.375" style="2" customWidth="1"/>
    <col min="11" max="11" width="14.875" style="2" customWidth="1"/>
    <col min="12" max="12" width="21.375" style="2" customWidth="1"/>
    <col min="13" max="13" width="17.6083333333333" customWidth="1"/>
    <col min="14" max="15" width="34.75" style="2" customWidth="1"/>
    <col min="16" max="16384" width="9" style="2"/>
  </cols>
  <sheetData>
    <row r="1" spans="1:15">
      <c r="A1" s="2" t="s">
        <v>0</v>
      </c>
      <c r="B1" s="2" t="s">
        <v>1</v>
      </c>
      <c r="C1" s="2" t="s">
        <v>2</v>
      </c>
      <c r="E1" s="2" t="s">
        <v>3</v>
      </c>
      <c r="G1" s="3"/>
      <c r="H1" s="3"/>
      <c r="I1" s="3"/>
      <c r="J1" s="3"/>
      <c r="K1" s="3"/>
      <c r="L1" s="3"/>
      <c r="N1" s="3"/>
      <c r="O1" s="3"/>
    </row>
    <row r="2" spans="1:15">
      <c r="A2" s="2" t="s">
        <v>4</v>
      </c>
      <c r="E2" s="2" t="s">
        <v>5</v>
      </c>
      <c r="F2" s="2" t="s">
        <v>6</v>
      </c>
      <c r="G2" s="2" t="s">
        <v>7</v>
      </c>
      <c r="H2" t="s">
        <v>8</v>
      </c>
      <c r="I2" t="s">
        <v>9</v>
      </c>
      <c r="J2" t="s">
        <v>10</v>
      </c>
      <c r="K2" s="2" t="s">
        <v>11</v>
      </c>
      <c r="L2" s="2" t="s">
        <v>12</v>
      </c>
      <c r="M2" t="s">
        <v>13</v>
      </c>
      <c r="N2" s="2" t="s">
        <v>14</v>
      </c>
      <c r="O2" s="2" t="s">
        <v>15</v>
      </c>
    </row>
    <row r="3" spans="1:15">
      <c r="A3" s="2" t="s">
        <v>16</v>
      </c>
      <c r="B3" s="2" t="s">
        <v>17</v>
      </c>
      <c r="C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t="s">
        <v>27</v>
      </c>
      <c r="N3" s="2" t="s">
        <v>28</v>
      </c>
      <c r="O3" s="2" t="s">
        <v>29</v>
      </c>
    </row>
    <row r="4" s="1" customFormat="1" spans="1:15">
      <c r="A4" s="1" t="s">
        <v>30</v>
      </c>
      <c r="M4" s="4"/>
    </row>
    <row r="5" spans="1:15">
      <c r="A5" s="2" t="s">
        <v>31</v>
      </c>
      <c r="B5" s="2" t="s">
        <v>32</v>
      </c>
      <c r="C5" s="2" t="s">
        <v>33</v>
      </c>
      <c r="E5" s="2" t="s">
        <v>34</v>
      </c>
      <c r="F5"/>
      <c r="G5"/>
      <c r="H5" t="str">
        <f t="shared" ref="H5:H12" si="0">"1010001_"&amp;(500+(ROW(A2)-2)*500)&amp;"|1021001_"&amp;(10+(ROW(A2)-2)*10)&amp;""</f>
        <v>1010001_500|1021001_10</v>
      </c>
      <c r="M5" t="s">
        <v>35</v>
      </c>
    </row>
    <row r="6" spans="1:15">
      <c r="E6" s="2" t="s">
        <v>36</v>
      </c>
      <c r="F6"/>
      <c r="G6"/>
      <c r="H6" t="str">
        <f t="shared" si="0"/>
        <v>1010001_1000|1021001_20</v>
      </c>
      <c r="K6"/>
      <c r="M6" t="s">
        <v>35</v>
      </c>
    </row>
    <row r="7" spans="1:15">
      <c r="E7" s="2" t="s">
        <v>37</v>
      </c>
      <c r="F7"/>
      <c r="G7"/>
      <c r="H7" t="str">
        <f t="shared" si="0"/>
        <v>1010001_1500|1021001_30</v>
      </c>
      <c r="K7"/>
      <c r="M7" t="s">
        <v>35</v>
      </c>
    </row>
    <row r="8" spans="1:15">
      <c r="E8" s="2" t="s">
        <v>38</v>
      </c>
      <c r="F8"/>
      <c r="G8"/>
      <c r="H8" t="str">
        <f t="shared" si="0"/>
        <v>1010001_2000|1021001_40</v>
      </c>
      <c r="K8"/>
      <c r="M8" t="s">
        <v>35</v>
      </c>
    </row>
    <row r="9" spans="1:15">
      <c r="E9" s="2" t="s">
        <v>39</v>
      </c>
      <c r="F9"/>
      <c r="G9"/>
      <c r="H9" t="str">
        <f t="shared" si="0"/>
        <v>1010001_2500|1021001_50</v>
      </c>
      <c r="K9"/>
      <c r="M9" t="s">
        <v>35</v>
      </c>
      <c r="O9" s="2" t="s">
        <v>40</v>
      </c>
    </row>
    <row r="10" spans="1:15">
      <c r="E10" s="2" t="s">
        <v>41</v>
      </c>
      <c r="F10"/>
      <c r="G10"/>
      <c r="H10" t="str">
        <f t="shared" si="0"/>
        <v>1010001_3000|1021001_60</v>
      </c>
      <c r="K10"/>
      <c r="M10" t="s">
        <v>35</v>
      </c>
    </row>
    <row r="11" spans="1:15">
      <c r="E11" s="2" t="s">
        <v>42</v>
      </c>
      <c r="F11"/>
      <c r="G11"/>
      <c r="H11" t="str">
        <f t="shared" si="0"/>
        <v>1010001_3500|1021001_70</v>
      </c>
      <c r="K11"/>
      <c r="M11" t="s">
        <v>35</v>
      </c>
    </row>
    <row r="12" spans="1:15">
      <c r="E12" s="2" t="s">
        <v>43</v>
      </c>
      <c r="F12"/>
      <c r="G12"/>
      <c r="H12" t="str">
        <f t="shared" si="0"/>
        <v>1010001_4000|1021001_80</v>
      </c>
      <c r="K12"/>
      <c r="M12" t="s">
        <v>35</v>
      </c>
    </row>
    <row r="13" spans="1:15">
      <c r="E13" s="2" t="s">
        <v>44</v>
      </c>
      <c r="F13"/>
      <c r="G13"/>
      <c r="H13" t="str">
        <f t="shared" ref="H13:H53" si="1">"1010001_"&amp;(4500+(ROW(A2)-2)*500)&amp;"|1021001_"&amp;(100+(ROW(A2)-2)*20)&amp;""</f>
        <v>1010001_4500|1021001_100</v>
      </c>
      <c r="K13"/>
      <c r="M13" t="s">
        <v>35</v>
      </c>
    </row>
    <row r="14" spans="1:15">
      <c r="E14" s="2" t="s">
        <v>45</v>
      </c>
      <c r="F14"/>
      <c r="G14"/>
      <c r="H14" t="str">
        <f t="shared" si="1"/>
        <v>1010001_5000|1021001_120</v>
      </c>
      <c r="K14"/>
      <c r="M14" t="s">
        <v>35</v>
      </c>
      <c r="O14" s="2" t="s">
        <v>46</v>
      </c>
    </row>
    <row r="15" spans="1:15">
      <c r="E15" s="2" t="s">
        <v>47</v>
      </c>
      <c r="F15"/>
      <c r="G15"/>
      <c r="H15" t="str">
        <f t="shared" si="1"/>
        <v>1010001_5500|1021001_140</v>
      </c>
      <c r="K15"/>
      <c r="M15" t="s">
        <v>35</v>
      </c>
    </row>
    <row r="16" spans="1:15">
      <c r="E16" s="2" t="s">
        <v>48</v>
      </c>
      <c r="F16"/>
      <c r="G16"/>
      <c r="H16" t="str">
        <f t="shared" si="1"/>
        <v>1010001_6000|1021001_160</v>
      </c>
      <c r="K16"/>
      <c r="M16" t="s">
        <v>35</v>
      </c>
    </row>
    <row r="17" spans="5:15">
      <c r="E17" s="2" t="s">
        <v>49</v>
      </c>
      <c r="F17"/>
      <c r="G17"/>
      <c r="H17" t="str">
        <f t="shared" si="1"/>
        <v>1010001_6500|1021001_180</v>
      </c>
      <c r="K17"/>
      <c r="M17" t="s">
        <v>35</v>
      </c>
    </row>
    <row r="18" spans="5:15">
      <c r="E18" s="2" t="s">
        <v>50</v>
      </c>
      <c r="F18"/>
      <c r="G18"/>
      <c r="H18" t="str">
        <f t="shared" si="1"/>
        <v>1010001_7000|1021001_200</v>
      </c>
      <c r="K18"/>
      <c r="M18" t="s">
        <v>35</v>
      </c>
    </row>
    <row r="19" spans="5:15">
      <c r="E19" s="2" t="s">
        <v>51</v>
      </c>
      <c r="F19"/>
      <c r="G19"/>
      <c r="H19" t="str">
        <f t="shared" si="1"/>
        <v>1010001_7500|1021001_220</v>
      </c>
      <c r="K19"/>
      <c r="M19" t="s">
        <v>35</v>
      </c>
      <c r="O19" s="2" t="s">
        <v>52</v>
      </c>
    </row>
    <row r="20" spans="5:15">
      <c r="E20" s="2" t="s">
        <v>53</v>
      </c>
      <c r="F20"/>
      <c r="G20"/>
      <c r="H20" t="str">
        <f t="shared" si="1"/>
        <v>1010001_8000|1021001_240</v>
      </c>
      <c r="K20"/>
      <c r="M20" t="s">
        <v>35</v>
      </c>
    </row>
    <row r="21" spans="5:15">
      <c r="E21" s="2" t="s">
        <v>54</v>
      </c>
      <c r="F21"/>
      <c r="G21"/>
      <c r="H21" t="str">
        <f t="shared" si="1"/>
        <v>1010001_8500|1021001_260</v>
      </c>
      <c r="K21"/>
      <c r="M21" t="s">
        <v>35</v>
      </c>
    </row>
    <row r="22" spans="5:15">
      <c r="E22" s="2" t="s">
        <v>55</v>
      </c>
      <c r="F22"/>
      <c r="G22"/>
      <c r="H22" t="str">
        <f t="shared" si="1"/>
        <v>1010001_9000|1021001_280</v>
      </c>
      <c r="K22"/>
      <c r="M22" t="s">
        <v>35</v>
      </c>
    </row>
    <row r="23" spans="5:15">
      <c r="E23" s="2" t="s">
        <v>56</v>
      </c>
      <c r="F23"/>
      <c r="G23"/>
      <c r="H23" t="str">
        <f t="shared" si="1"/>
        <v>1010001_9500|1021001_300</v>
      </c>
      <c r="K23"/>
      <c r="M23" t="s">
        <v>35</v>
      </c>
    </row>
    <row r="24" spans="5:15">
      <c r="E24" s="2" t="s">
        <v>57</v>
      </c>
      <c r="F24"/>
      <c r="G24"/>
      <c r="H24" t="str">
        <f t="shared" si="1"/>
        <v>1010001_10000|1021001_320</v>
      </c>
      <c r="K24"/>
      <c r="M24" t="s">
        <v>35</v>
      </c>
      <c r="O24" s="2" t="s">
        <v>58</v>
      </c>
    </row>
    <row r="25" spans="5:15">
      <c r="E25" s="2" t="s">
        <v>59</v>
      </c>
      <c r="F25"/>
      <c r="G25"/>
      <c r="H25" t="str">
        <f t="shared" si="1"/>
        <v>1010001_10500|1021001_340</v>
      </c>
      <c r="K25"/>
      <c r="M25" t="s">
        <v>35</v>
      </c>
    </row>
    <row r="26" spans="5:15">
      <c r="E26" s="2" t="s">
        <v>60</v>
      </c>
      <c r="F26"/>
      <c r="G26"/>
      <c r="H26" t="str">
        <f t="shared" si="1"/>
        <v>1010001_11000|1021001_360</v>
      </c>
      <c r="K26"/>
      <c r="M26" t="s">
        <v>35</v>
      </c>
    </row>
    <row r="27" spans="5:15">
      <c r="E27" s="2" t="s">
        <v>61</v>
      </c>
      <c r="F27"/>
      <c r="G27"/>
      <c r="H27" t="str">
        <f t="shared" si="1"/>
        <v>1010001_11500|1021001_380</v>
      </c>
      <c r="K27"/>
      <c r="M27" t="s">
        <v>35</v>
      </c>
    </row>
    <row r="28" spans="5:15">
      <c r="E28" s="2" t="s">
        <v>62</v>
      </c>
      <c r="F28"/>
      <c r="G28"/>
      <c r="H28" t="str">
        <f t="shared" si="1"/>
        <v>1010001_12000|1021001_400</v>
      </c>
      <c r="K28"/>
      <c r="M28" t="s">
        <v>35</v>
      </c>
    </row>
    <row r="29" spans="5:15">
      <c r="E29" s="2" t="s">
        <v>63</v>
      </c>
      <c r="F29"/>
      <c r="G29"/>
      <c r="H29" t="str">
        <f t="shared" si="1"/>
        <v>1010001_12500|1021001_420</v>
      </c>
      <c r="K29"/>
      <c r="M29" t="s">
        <v>35</v>
      </c>
      <c r="O29" s="2" t="s">
        <v>64</v>
      </c>
    </row>
    <row r="30" spans="5:15">
      <c r="E30" s="2" t="s">
        <v>65</v>
      </c>
      <c r="F30"/>
      <c r="G30"/>
      <c r="H30" t="str">
        <f t="shared" si="1"/>
        <v>1010001_13000|1021001_440</v>
      </c>
      <c r="K30"/>
      <c r="M30" t="s">
        <v>35</v>
      </c>
    </row>
    <row r="31" spans="5:15">
      <c r="E31" s="2" t="s">
        <v>66</v>
      </c>
      <c r="F31"/>
      <c r="G31"/>
      <c r="H31" t="str">
        <f t="shared" si="1"/>
        <v>1010001_13500|1021001_460</v>
      </c>
      <c r="K31"/>
      <c r="M31" t="s">
        <v>35</v>
      </c>
    </row>
    <row r="32" spans="5:15">
      <c r="E32" s="2" t="s">
        <v>67</v>
      </c>
      <c r="F32"/>
      <c r="G32"/>
      <c r="H32" t="str">
        <f t="shared" si="1"/>
        <v>1010001_14000|1021001_480</v>
      </c>
      <c r="K32"/>
      <c r="M32" t="s">
        <v>35</v>
      </c>
    </row>
    <row r="33" spans="5:15">
      <c r="E33" s="2" t="s">
        <v>68</v>
      </c>
      <c r="F33"/>
      <c r="G33"/>
      <c r="H33" t="str">
        <f t="shared" si="1"/>
        <v>1010001_14500|1021001_500</v>
      </c>
      <c r="K33"/>
      <c r="M33" t="s">
        <v>35</v>
      </c>
    </row>
    <row r="34" spans="5:15">
      <c r="E34" s="2" t="s">
        <v>69</v>
      </c>
      <c r="F34"/>
      <c r="G34"/>
      <c r="H34" t="str">
        <f t="shared" si="1"/>
        <v>1010001_15000|1021001_520</v>
      </c>
      <c r="K34"/>
      <c r="M34" t="s">
        <v>35</v>
      </c>
      <c r="O34" s="2" t="s">
        <v>70</v>
      </c>
    </row>
    <row r="35" spans="5:15">
      <c r="E35" s="2" t="s">
        <v>71</v>
      </c>
      <c r="F35"/>
      <c r="G35"/>
      <c r="H35" t="str">
        <f t="shared" si="1"/>
        <v>1010001_15500|1021001_540</v>
      </c>
      <c r="K35"/>
      <c r="M35" t="s">
        <v>35</v>
      </c>
    </row>
    <row r="36" spans="5:15">
      <c r="E36" s="2" t="s">
        <v>72</v>
      </c>
      <c r="F36"/>
      <c r="G36"/>
      <c r="H36" t="str">
        <f t="shared" si="1"/>
        <v>1010001_16000|1021001_560</v>
      </c>
      <c r="K36"/>
      <c r="M36" t="s">
        <v>35</v>
      </c>
    </row>
    <row r="37" spans="5:15">
      <c r="E37" s="2" t="s">
        <v>73</v>
      </c>
      <c r="F37"/>
      <c r="G37"/>
      <c r="H37" t="str">
        <f t="shared" si="1"/>
        <v>1010001_16500|1021001_580</v>
      </c>
      <c r="K37"/>
      <c r="M37" t="s">
        <v>35</v>
      </c>
    </row>
    <row r="38" spans="5:15">
      <c r="E38" s="2" t="s">
        <v>74</v>
      </c>
      <c r="F38"/>
      <c r="G38"/>
      <c r="H38" t="str">
        <f t="shared" si="1"/>
        <v>1010001_17000|1021001_600</v>
      </c>
      <c r="K38"/>
      <c r="M38" t="s">
        <v>35</v>
      </c>
    </row>
    <row r="39" spans="5:15">
      <c r="E39" s="2" t="s">
        <v>75</v>
      </c>
      <c r="F39"/>
      <c r="G39"/>
      <c r="H39" t="str">
        <f t="shared" si="1"/>
        <v>1010001_17500|1021001_620</v>
      </c>
      <c r="K39"/>
      <c r="M39" t="s">
        <v>35</v>
      </c>
      <c r="O39" s="2" t="s">
        <v>76</v>
      </c>
    </row>
    <row r="40" spans="5:15">
      <c r="E40" s="2" t="s">
        <v>77</v>
      </c>
      <c r="F40"/>
      <c r="G40"/>
      <c r="H40" t="str">
        <f t="shared" si="1"/>
        <v>1010001_18000|1021001_640</v>
      </c>
      <c r="K40"/>
      <c r="M40" t="s">
        <v>35</v>
      </c>
    </row>
    <row r="41" spans="5:15">
      <c r="E41" s="2" t="s">
        <v>78</v>
      </c>
      <c r="F41"/>
      <c r="G41"/>
      <c r="H41" t="str">
        <f t="shared" si="1"/>
        <v>1010001_18500|1021001_660</v>
      </c>
      <c r="K41"/>
      <c r="M41" t="s">
        <v>35</v>
      </c>
    </row>
    <row r="42" spans="5:15">
      <c r="E42" s="2" t="s">
        <v>79</v>
      </c>
      <c r="F42"/>
      <c r="G42"/>
      <c r="H42" t="str">
        <f t="shared" si="1"/>
        <v>1010001_19000|1021001_680</v>
      </c>
      <c r="K42"/>
      <c r="M42" t="s">
        <v>35</v>
      </c>
    </row>
    <row r="43" spans="5:15">
      <c r="E43" s="2" t="s">
        <v>80</v>
      </c>
      <c r="F43"/>
      <c r="G43"/>
      <c r="H43" t="str">
        <f t="shared" si="1"/>
        <v>1010001_19500|1021001_700</v>
      </c>
      <c r="K43"/>
      <c r="M43" t="s">
        <v>35</v>
      </c>
    </row>
    <row r="44" spans="5:15">
      <c r="E44" s="2" t="s">
        <v>81</v>
      </c>
      <c r="F44"/>
      <c r="G44"/>
      <c r="H44" t="str">
        <f t="shared" si="1"/>
        <v>1010001_20000|1021001_720</v>
      </c>
      <c r="I44" s="2" t="s">
        <v>82</v>
      </c>
      <c r="K44"/>
      <c r="M44" t="s">
        <v>35</v>
      </c>
      <c r="O44" s="2" t="s">
        <v>83</v>
      </c>
    </row>
    <row r="45" spans="5:15">
      <c r="E45" s="2" t="s">
        <v>84</v>
      </c>
      <c r="F45"/>
      <c r="G45"/>
      <c r="H45" t="str">
        <f t="shared" si="1"/>
        <v>1010001_20500|1021001_740</v>
      </c>
      <c r="K45"/>
      <c r="M45" t="s">
        <v>35</v>
      </c>
    </row>
    <row r="46" spans="5:15">
      <c r="E46" s="2" t="s">
        <v>85</v>
      </c>
      <c r="F46"/>
      <c r="G46"/>
      <c r="H46" t="str">
        <f t="shared" si="1"/>
        <v>1010001_21000|1021001_760</v>
      </c>
      <c r="K46"/>
      <c r="M46" t="s">
        <v>35</v>
      </c>
    </row>
    <row r="47" spans="5:15">
      <c r="E47" s="2" t="s">
        <v>86</v>
      </c>
      <c r="F47"/>
      <c r="G47"/>
      <c r="H47" t="str">
        <f t="shared" si="1"/>
        <v>1010001_21500|1021001_780</v>
      </c>
      <c r="K47"/>
      <c r="M47" t="s">
        <v>35</v>
      </c>
    </row>
    <row r="48" spans="5:15">
      <c r="E48" s="2" t="s">
        <v>87</v>
      </c>
      <c r="F48"/>
      <c r="G48"/>
      <c r="H48" t="str">
        <f t="shared" si="1"/>
        <v>1010001_22000|1021001_800</v>
      </c>
      <c r="K48"/>
      <c r="M48" t="s">
        <v>35</v>
      </c>
    </row>
    <row r="49" spans="1:15">
      <c r="E49" s="2" t="s">
        <v>88</v>
      </c>
      <c r="F49"/>
      <c r="G49"/>
      <c r="H49" t="str">
        <f t="shared" si="1"/>
        <v>1010001_22500|1021001_820</v>
      </c>
      <c r="K49"/>
      <c r="M49" t="s">
        <v>35</v>
      </c>
      <c r="O49" s="2" t="s">
        <v>89</v>
      </c>
    </row>
    <row r="50" spans="1:15">
      <c r="E50" s="2" t="s">
        <v>90</v>
      </c>
      <c r="F50"/>
      <c r="G50"/>
      <c r="H50" t="str">
        <f t="shared" si="1"/>
        <v>1010001_23000|1021001_840</v>
      </c>
      <c r="K50"/>
      <c r="M50" t="s">
        <v>35</v>
      </c>
    </row>
    <row r="51" spans="1:15">
      <c r="E51" s="2" t="s">
        <v>91</v>
      </c>
      <c r="F51"/>
      <c r="G51"/>
      <c r="H51" t="str">
        <f t="shared" si="1"/>
        <v>1010001_23500|1021001_860</v>
      </c>
      <c r="K51"/>
      <c r="M51" t="s">
        <v>35</v>
      </c>
    </row>
    <row r="52" spans="1:15">
      <c r="E52" s="2" t="s">
        <v>92</v>
      </c>
      <c r="F52"/>
      <c r="G52"/>
      <c r="H52" t="str">
        <f t="shared" si="1"/>
        <v>1010001_24000|1021001_880</v>
      </c>
      <c r="K52"/>
      <c r="M52" t="s">
        <v>35</v>
      </c>
    </row>
    <row r="53" spans="1:15">
      <c r="E53" s="2" t="s">
        <v>93</v>
      </c>
      <c r="F53"/>
      <c r="G53"/>
      <c r="H53" t="str">
        <f t="shared" si="1"/>
        <v>1010001_24500|1021001_900</v>
      </c>
      <c r="K53"/>
      <c r="M53" t="s">
        <v>35</v>
      </c>
    </row>
    <row r="54" spans="1:15">
      <c r="E54" s="2" t="s">
        <v>94</v>
      </c>
      <c r="F54"/>
      <c r="G54"/>
      <c r="H54"/>
      <c r="K54"/>
      <c r="M54" t="s">
        <v>35</v>
      </c>
      <c r="O54" s="2" t="s">
        <v>95</v>
      </c>
    </row>
    <row r="55" spans="1:15">
      <c r="F55" s="5"/>
      <c r="G55"/>
      <c r="H55"/>
      <c r="K55"/>
    </row>
    <row r="56" spans="1:15">
      <c r="A56" s="2" t="s">
        <v>96</v>
      </c>
      <c r="B56" s="2" t="s">
        <v>97</v>
      </c>
      <c r="C56" s="2" t="s">
        <v>33</v>
      </c>
      <c r="E56" s="2" t="s">
        <v>34</v>
      </c>
      <c r="F56"/>
      <c r="G56"/>
      <c r="H56" t="str">
        <f t="shared" ref="H56:H63" si="2">"1010001_"&amp;(500+(ROW(A2)-2)*500)&amp;"|1021001_"&amp;(10+(ROW(A2)-2)*10)&amp;""</f>
        <v>1010001_500|1021001_10</v>
      </c>
      <c r="K56"/>
      <c r="M56" t="s">
        <v>35</v>
      </c>
    </row>
    <row r="57" spans="1:15">
      <c r="E57" s="2" t="s">
        <v>36</v>
      </c>
      <c r="F57"/>
      <c r="G57"/>
      <c r="H57" t="str">
        <f t="shared" si="2"/>
        <v>1010001_1000|1021001_20</v>
      </c>
      <c r="K57"/>
      <c r="M57" t="s">
        <v>35</v>
      </c>
    </row>
    <row r="58" spans="1:15">
      <c r="E58" s="2" t="s">
        <v>37</v>
      </c>
      <c r="F58"/>
      <c r="G58"/>
      <c r="H58" t="str">
        <f t="shared" si="2"/>
        <v>1010001_1500|1021001_30</v>
      </c>
      <c r="K58"/>
      <c r="M58" t="s">
        <v>35</v>
      </c>
    </row>
    <row r="59" spans="1:15">
      <c r="E59" s="2" t="s">
        <v>38</v>
      </c>
      <c r="F59"/>
      <c r="G59"/>
      <c r="H59" t="str">
        <f t="shared" si="2"/>
        <v>1010001_2000|1021001_40</v>
      </c>
      <c r="K59"/>
      <c r="M59" t="s">
        <v>35</v>
      </c>
    </row>
    <row r="60" spans="1:15">
      <c r="E60" s="2" t="s">
        <v>39</v>
      </c>
      <c r="F60"/>
      <c r="G60"/>
      <c r="H60" t="str">
        <f t="shared" si="2"/>
        <v>1010001_2500|1021001_50</v>
      </c>
      <c r="K60"/>
      <c r="M60" t="s">
        <v>35</v>
      </c>
      <c r="O60" s="2" t="s">
        <v>40</v>
      </c>
    </row>
    <row r="61" spans="1:15">
      <c r="E61" s="2" t="s">
        <v>41</v>
      </c>
      <c r="F61"/>
      <c r="G61"/>
      <c r="H61" t="str">
        <f t="shared" si="2"/>
        <v>1010001_3000|1021001_60</v>
      </c>
      <c r="K61"/>
      <c r="M61" t="s">
        <v>35</v>
      </c>
    </row>
    <row r="62" spans="1:15">
      <c r="E62" s="2" t="s">
        <v>42</v>
      </c>
      <c r="F62"/>
      <c r="G62"/>
      <c r="H62" t="str">
        <f t="shared" si="2"/>
        <v>1010001_3500|1021001_70</v>
      </c>
      <c r="K62"/>
      <c r="M62" t="s">
        <v>35</v>
      </c>
    </row>
    <row r="63" spans="1:15">
      <c r="E63" s="2" t="s">
        <v>43</v>
      </c>
      <c r="F63"/>
      <c r="G63"/>
      <c r="H63" t="str">
        <f t="shared" si="2"/>
        <v>1010001_4000|1021001_80</v>
      </c>
      <c r="K63"/>
      <c r="M63" t="s">
        <v>35</v>
      </c>
    </row>
    <row r="64" spans="1:15">
      <c r="E64" s="2" t="s">
        <v>44</v>
      </c>
      <c r="F64"/>
      <c r="G64"/>
      <c r="H64" t="str">
        <f t="shared" ref="H64:H104" si="3">"1010001_"&amp;(4500+(ROW(A2)-2)*500)&amp;"|1021001_"&amp;(100+(ROW(A2)-2)*20)&amp;""</f>
        <v>1010001_4500|1021001_100</v>
      </c>
      <c r="K64"/>
      <c r="M64" t="s">
        <v>35</v>
      </c>
    </row>
    <row r="65" spans="5:15">
      <c r="E65" s="2" t="s">
        <v>45</v>
      </c>
      <c r="F65"/>
      <c r="G65"/>
      <c r="H65" t="str">
        <f t="shared" si="3"/>
        <v>1010001_5000|1021001_120</v>
      </c>
      <c r="K65"/>
      <c r="M65" t="s">
        <v>35</v>
      </c>
      <c r="O65" s="2" t="s">
        <v>46</v>
      </c>
    </row>
    <row r="66" spans="5:15">
      <c r="E66" s="2" t="s">
        <v>47</v>
      </c>
      <c r="F66"/>
      <c r="G66"/>
      <c r="H66" t="str">
        <f t="shared" si="3"/>
        <v>1010001_5500|1021001_140</v>
      </c>
      <c r="K66"/>
      <c r="M66" t="s">
        <v>35</v>
      </c>
    </row>
    <row r="67" spans="5:15">
      <c r="E67" s="2" t="s">
        <v>48</v>
      </c>
      <c r="F67"/>
      <c r="G67"/>
      <c r="H67" t="str">
        <f t="shared" si="3"/>
        <v>1010001_6000|1021001_160</v>
      </c>
      <c r="K67"/>
      <c r="M67" t="s">
        <v>35</v>
      </c>
    </row>
    <row r="68" spans="5:15">
      <c r="E68" s="2" t="s">
        <v>49</v>
      </c>
      <c r="F68"/>
      <c r="G68"/>
      <c r="H68" t="str">
        <f t="shared" si="3"/>
        <v>1010001_6500|1021001_180</v>
      </c>
      <c r="K68"/>
      <c r="M68" t="s">
        <v>35</v>
      </c>
    </row>
    <row r="69" spans="5:15">
      <c r="E69" s="2" t="s">
        <v>50</v>
      </c>
      <c r="F69"/>
      <c r="G69"/>
      <c r="H69" t="str">
        <f t="shared" si="3"/>
        <v>1010001_7000|1021001_200</v>
      </c>
      <c r="K69"/>
      <c r="M69" t="s">
        <v>35</v>
      </c>
    </row>
    <row r="70" spans="5:15">
      <c r="E70" s="2" t="s">
        <v>51</v>
      </c>
      <c r="F70"/>
      <c r="G70"/>
      <c r="H70" t="str">
        <f t="shared" si="3"/>
        <v>1010001_7500|1021001_220</v>
      </c>
      <c r="K70"/>
      <c r="M70" t="s">
        <v>35</v>
      </c>
      <c r="O70" s="2" t="s">
        <v>52</v>
      </c>
    </row>
    <row r="71" spans="5:15">
      <c r="E71" s="2" t="s">
        <v>53</v>
      </c>
      <c r="F71"/>
      <c r="G71"/>
      <c r="H71" t="str">
        <f t="shared" si="3"/>
        <v>1010001_8000|1021001_240</v>
      </c>
      <c r="K71"/>
      <c r="M71" t="s">
        <v>35</v>
      </c>
    </row>
    <row r="72" spans="5:15">
      <c r="E72" s="2" t="s">
        <v>54</v>
      </c>
      <c r="F72"/>
      <c r="G72"/>
      <c r="H72" t="str">
        <f t="shared" si="3"/>
        <v>1010001_8500|1021001_260</v>
      </c>
      <c r="K72"/>
      <c r="M72" t="s">
        <v>35</v>
      </c>
    </row>
    <row r="73" spans="5:15">
      <c r="E73" s="2" t="s">
        <v>55</v>
      </c>
      <c r="F73"/>
      <c r="G73"/>
      <c r="H73" t="str">
        <f t="shared" si="3"/>
        <v>1010001_9000|1021001_280</v>
      </c>
      <c r="K73"/>
      <c r="M73" t="s">
        <v>35</v>
      </c>
    </row>
    <row r="74" spans="5:15">
      <c r="E74" s="2" t="s">
        <v>56</v>
      </c>
      <c r="F74"/>
      <c r="G74"/>
      <c r="H74" t="str">
        <f t="shared" si="3"/>
        <v>1010001_9500|1021001_300</v>
      </c>
      <c r="K74"/>
      <c r="M74" t="s">
        <v>35</v>
      </c>
    </row>
    <row r="75" spans="5:15">
      <c r="E75" s="2" t="s">
        <v>57</v>
      </c>
      <c r="F75"/>
      <c r="G75"/>
      <c r="H75" t="str">
        <f t="shared" si="3"/>
        <v>1010001_10000|1021001_320</v>
      </c>
      <c r="K75"/>
      <c r="M75" t="s">
        <v>35</v>
      </c>
      <c r="O75" s="2" t="s">
        <v>58</v>
      </c>
    </row>
    <row r="76" spans="5:15">
      <c r="E76" s="2" t="s">
        <v>59</v>
      </c>
      <c r="F76"/>
      <c r="G76"/>
      <c r="H76" t="str">
        <f t="shared" si="3"/>
        <v>1010001_10500|1021001_340</v>
      </c>
      <c r="K76"/>
      <c r="M76" t="s">
        <v>35</v>
      </c>
    </row>
    <row r="77" spans="5:15">
      <c r="E77" s="2" t="s">
        <v>60</v>
      </c>
      <c r="F77"/>
      <c r="G77"/>
      <c r="H77" t="str">
        <f t="shared" si="3"/>
        <v>1010001_11000|1021001_360</v>
      </c>
      <c r="K77"/>
      <c r="M77" t="s">
        <v>35</v>
      </c>
    </row>
    <row r="78" spans="5:15">
      <c r="E78" s="2" t="s">
        <v>61</v>
      </c>
      <c r="F78"/>
      <c r="G78"/>
      <c r="H78" t="str">
        <f t="shared" si="3"/>
        <v>1010001_11500|1021001_380</v>
      </c>
      <c r="K78"/>
      <c r="M78" t="s">
        <v>35</v>
      </c>
    </row>
    <row r="79" spans="5:15">
      <c r="E79" s="2" t="s">
        <v>62</v>
      </c>
      <c r="F79"/>
      <c r="G79"/>
      <c r="H79" t="str">
        <f t="shared" si="3"/>
        <v>1010001_12000|1021001_400</v>
      </c>
      <c r="K79"/>
      <c r="M79" t="s">
        <v>35</v>
      </c>
    </row>
    <row r="80" spans="5:15">
      <c r="E80" s="2" t="s">
        <v>63</v>
      </c>
      <c r="F80"/>
      <c r="G80"/>
      <c r="H80" t="str">
        <f t="shared" si="3"/>
        <v>1010001_12500|1021001_420</v>
      </c>
      <c r="K80"/>
      <c r="M80" t="s">
        <v>35</v>
      </c>
      <c r="O80" s="2" t="s">
        <v>64</v>
      </c>
    </row>
    <row r="81" spans="5:15">
      <c r="E81" s="2" t="s">
        <v>65</v>
      </c>
      <c r="F81"/>
      <c r="G81"/>
      <c r="H81" t="str">
        <f t="shared" si="3"/>
        <v>1010001_13000|1021001_440</v>
      </c>
      <c r="K81"/>
      <c r="M81" t="s">
        <v>35</v>
      </c>
    </row>
    <row r="82" spans="5:15">
      <c r="E82" s="2" t="s">
        <v>66</v>
      </c>
      <c r="F82"/>
      <c r="G82"/>
      <c r="H82" t="str">
        <f t="shared" si="3"/>
        <v>1010001_13500|1021001_460</v>
      </c>
      <c r="K82"/>
      <c r="M82" t="s">
        <v>35</v>
      </c>
    </row>
    <row r="83" spans="5:15">
      <c r="E83" s="2" t="s">
        <v>67</v>
      </c>
      <c r="F83"/>
      <c r="G83"/>
      <c r="H83" t="str">
        <f t="shared" si="3"/>
        <v>1010001_14000|1021001_480</v>
      </c>
      <c r="K83"/>
      <c r="M83" t="s">
        <v>35</v>
      </c>
    </row>
    <row r="84" spans="5:15">
      <c r="E84" s="2" t="s">
        <v>68</v>
      </c>
      <c r="F84"/>
      <c r="G84"/>
      <c r="H84" t="str">
        <f t="shared" si="3"/>
        <v>1010001_14500|1021001_500</v>
      </c>
      <c r="K84"/>
      <c r="M84" t="s">
        <v>35</v>
      </c>
    </row>
    <row r="85" spans="5:15">
      <c r="E85" s="2" t="s">
        <v>69</v>
      </c>
      <c r="F85"/>
      <c r="G85"/>
      <c r="H85" t="str">
        <f t="shared" si="3"/>
        <v>1010001_15000|1021001_520</v>
      </c>
      <c r="K85"/>
      <c r="M85" t="s">
        <v>35</v>
      </c>
      <c r="O85" s="2" t="s">
        <v>70</v>
      </c>
    </row>
    <row r="86" spans="5:15">
      <c r="E86" s="2" t="s">
        <v>71</v>
      </c>
      <c r="F86"/>
      <c r="G86"/>
      <c r="H86" t="str">
        <f t="shared" si="3"/>
        <v>1010001_15500|1021001_540</v>
      </c>
      <c r="K86"/>
      <c r="M86" t="s">
        <v>35</v>
      </c>
    </row>
    <row r="87" spans="5:15">
      <c r="E87" s="2" t="s">
        <v>72</v>
      </c>
      <c r="F87"/>
      <c r="G87"/>
      <c r="H87" t="str">
        <f t="shared" si="3"/>
        <v>1010001_16000|1021001_560</v>
      </c>
      <c r="K87"/>
      <c r="M87" t="s">
        <v>35</v>
      </c>
    </row>
    <row r="88" spans="5:15">
      <c r="E88" s="2" t="s">
        <v>73</v>
      </c>
      <c r="F88"/>
      <c r="G88"/>
      <c r="H88" t="str">
        <f t="shared" si="3"/>
        <v>1010001_16500|1021001_580</v>
      </c>
      <c r="K88"/>
      <c r="M88" t="s">
        <v>35</v>
      </c>
    </row>
    <row r="89" spans="5:15">
      <c r="E89" s="2" t="s">
        <v>74</v>
      </c>
      <c r="F89"/>
      <c r="G89"/>
      <c r="H89" t="str">
        <f t="shared" si="3"/>
        <v>1010001_17000|1021001_600</v>
      </c>
      <c r="K89"/>
      <c r="M89" t="s">
        <v>35</v>
      </c>
    </row>
    <row r="90" spans="5:15">
      <c r="E90" s="2" t="s">
        <v>75</v>
      </c>
      <c r="F90"/>
      <c r="G90"/>
      <c r="H90" t="str">
        <f t="shared" si="3"/>
        <v>1010001_17500|1021001_620</v>
      </c>
      <c r="K90"/>
      <c r="M90" t="s">
        <v>35</v>
      </c>
      <c r="O90" s="2" t="s">
        <v>76</v>
      </c>
    </row>
    <row r="91" spans="5:15">
      <c r="E91" s="2" t="s">
        <v>77</v>
      </c>
      <c r="F91"/>
      <c r="G91"/>
      <c r="H91" t="str">
        <f t="shared" si="3"/>
        <v>1010001_18000|1021001_640</v>
      </c>
      <c r="K91"/>
      <c r="M91" t="s">
        <v>35</v>
      </c>
    </row>
    <row r="92" spans="5:15">
      <c r="E92" s="2" t="s">
        <v>78</v>
      </c>
      <c r="F92"/>
      <c r="G92"/>
      <c r="H92" t="str">
        <f t="shared" si="3"/>
        <v>1010001_18500|1021001_660</v>
      </c>
      <c r="K92"/>
      <c r="M92" t="s">
        <v>35</v>
      </c>
    </row>
    <row r="93" spans="5:15">
      <c r="E93" s="2" t="s">
        <v>79</v>
      </c>
      <c r="F93"/>
      <c r="G93"/>
      <c r="H93" t="str">
        <f t="shared" si="3"/>
        <v>1010001_19000|1021001_680</v>
      </c>
      <c r="K93"/>
      <c r="M93" t="s">
        <v>35</v>
      </c>
    </row>
    <row r="94" spans="5:15">
      <c r="E94" s="2" t="s">
        <v>80</v>
      </c>
      <c r="F94"/>
      <c r="G94"/>
      <c r="H94" t="str">
        <f t="shared" si="3"/>
        <v>1010001_19500|1021001_700</v>
      </c>
      <c r="K94"/>
      <c r="M94" t="s">
        <v>35</v>
      </c>
    </row>
    <row r="95" spans="5:15">
      <c r="E95" s="2" t="s">
        <v>81</v>
      </c>
      <c r="F95"/>
      <c r="G95"/>
      <c r="H95" t="str">
        <f t="shared" si="3"/>
        <v>1010001_20000|1021001_720</v>
      </c>
      <c r="I95" s="2" t="s">
        <v>82</v>
      </c>
      <c r="K95"/>
      <c r="M95" t="s">
        <v>35</v>
      </c>
      <c r="O95" s="2" t="s">
        <v>83</v>
      </c>
    </row>
    <row r="96" spans="5:15">
      <c r="E96" s="2" t="s">
        <v>84</v>
      </c>
      <c r="F96"/>
      <c r="G96"/>
      <c r="H96" t="str">
        <f t="shared" si="3"/>
        <v>1010001_20500|1021001_740</v>
      </c>
      <c r="K96"/>
      <c r="M96" t="s">
        <v>35</v>
      </c>
    </row>
    <row r="97" spans="1:15">
      <c r="E97" s="2" t="s">
        <v>85</v>
      </c>
      <c r="F97"/>
      <c r="G97"/>
      <c r="H97" t="str">
        <f t="shared" si="3"/>
        <v>1010001_21000|1021001_760</v>
      </c>
      <c r="K97"/>
      <c r="M97" t="s">
        <v>35</v>
      </c>
    </row>
    <row r="98" spans="1:15">
      <c r="E98" s="2" t="s">
        <v>86</v>
      </c>
      <c r="F98"/>
      <c r="G98"/>
      <c r="H98" t="str">
        <f t="shared" si="3"/>
        <v>1010001_21500|1021001_780</v>
      </c>
      <c r="K98"/>
      <c r="M98" t="s">
        <v>35</v>
      </c>
    </row>
    <row r="99" spans="1:15">
      <c r="E99" s="2" t="s">
        <v>87</v>
      </c>
      <c r="F99"/>
      <c r="G99"/>
      <c r="H99" t="str">
        <f t="shared" si="3"/>
        <v>1010001_22000|1021001_800</v>
      </c>
      <c r="K99"/>
      <c r="M99" t="s">
        <v>35</v>
      </c>
    </row>
    <row r="100" spans="1:15">
      <c r="E100" s="2" t="s">
        <v>88</v>
      </c>
      <c r="F100"/>
      <c r="G100"/>
      <c r="H100" t="str">
        <f t="shared" si="3"/>
        <v>1010001_22500|1021001_820</v>
      </c>
      <c r="K100"/>
      <c r="M100" t="s">
        <v>35</v>
      </c>
      <c r="O100" s="2" t="s">
        <v>89</v>
      </c>
    </row>
    <row r="101" spans="1:15">
      <c r="E101" s="2" t="s">
        <v>90</v>
      </c>
      <c r="F101"/>
      <c r="G101"/>
      <c r="H101" t="str">
        <f t="shared" si="3"/>
        <v>1010001_23000|1021001_840</v>
      </c>
      <c r="K101"/>
      <c r="M101" t="s">
        <v>35</v>
      </c>
    </row>
    <row r="102" spans="1:15">
      <c r="E102" s="2" t="s">
        <v>91</v>
      </c>
      <c r="F102"/>
      <c r="G102"/>
      <c r="H102" t="str">
        <f t="shared" si="3"/>
        <v>1010001_23500|1021001_860</v>
      </c>
      <c r="K102"/>
      <c r="M102" t="s">
        <v>35</v>
      </c>
    </row>
    <row r="103" spans="1:15">
      <c r="E103" s="2" t="s">
        <v>92</v>
      </c>
      <c r="F103"/>
      <c r="G103"/>
      <c r="H103" t="str">
        <f t="shared" si="3"/>
        <v>1010001_24000|1021001_880</v>
      </c>
      <c r="K103"/>
      <c r="M103" t="s">
        <v>35</v>
      </c>
    </row>
    <row r="104" spans="1:15">
      <c r="E104" s="2" t="s">
        <v>93</v>
      </c>
      <c r="F104"/>
      <c r="G104"/>
      <c r="H104" t="str">
        <f t="shared" si="3"/>
        <v>1010001_24500|1021001_900</v>
      </c>
      <c r="K104"/>
      <c r="M104" t="s">
        <v>35</v>
      </c>
    </row>
    <row r="105" spans="1:15">
      <c r="E105" s="2" t="s">
        <v>94</v>
      </c>
      <c r="F105"/>
      <c r="G105"/>
      <c r="H105"/>
      <c r="K105"/>
      <c r="M105" t="s">
        <v>35</v>
      </c>
      <c r="O105" s="2" t="s">
        <v>95</v>
      </c>
    </row>
    <row r="106" spans="1:15">
      <c r="F106"/>
      <c r="G106"/>
      <c r="H106"/>
      <c r="K106"/>
    </row>
    <row r="107" spans="1:15">
      <c r="A107" s="2" t="s">
        <v>98</v>
      </c>
      <c r="B107" s="2" t="s">
        <v>99</v>
      </c>
      <c r="C107" s="2" t="s">
        <v>33</v>
      </c>
      <c r="E107" s="2" t="s">
        <v>34</v>
      </c>
      <c r="F107"/>
      <c r="G107"/>
      <c r="H107" t="str">
        <f t="shared" ref="H107:H114" si="4">"1010001_"&amp;(500+(ROW(A2)-2)*500)&amp;"|1021002_"&amp;(10+(ROW(A2)-2)*10)&amp;""</f>
        <v>1010001_500|1021002_10</v>
      </c>
      <c r="K107"/>
      <c r="M107" t="s">
        <v>100</v>
      </c>
    </row>
    <row r="108" spans="1:15">
      <c r="E108" s="2" t="s">
        <v>36</v>
      </c>
      <c r="F108"/>
      <c r="G108"/>
      <c r="H108" t="str">
        <f t="shared" si="4"/>
        <v>1010001_1000|1021002_20</v>
      </c>
      <c r="K108"/>
      <c r="M108" t="s">
        <v>100</v>
      </c>
    </row>
    <row r="109" spans="1:15">
      <c r="E109" s="2" t="s">
        <v>37</v>
      </c>
      <c r="F109"/>
      <c r="G109"/>
      <c r="H109" t="str">
        <f t="shared" si="4"/>
        <v>1010001_1500|1021002_30</v>
      </c>
      <c r="K109"/>
      <c r="M109" t="s">
        <v>100</v>
      </c>
    </row>
    <row r="110" spans="1:15">
      <c r="E110" s="2" t="s">
        <v>38</v>
      </c>
      <c r="F110"/>
      <c r="G110"/>
      <c r="H110" t="str">
        <f t="shared" si="4"/>
        <v>1010001_2000|1021002_40</v>
      </c>
      <c r="K110"/>
      <c r="M110" t="s">
        <v>100</v>
      </c>
    </row>
    <row r="111" spans="1:15">
      <c r="E111" s="2" t="s">
        <v>39</v>
      </c>
      <c r="F111"/>
      <c r="G111"/>
      <c r="H111" t="str">
        <f t="shared" si="4"/>
        <v>1010001_2500|1021002_50</v>
      </c>
      <c r="K111"/>
      <c r="M111" t="s">
        <v>100</v>
      </c>
      <c r="O111" s="2" t="s">
        <v>101</v>
      </c>
    </row>
    <row r="112" spans="1:15">
      <c r="E112" s="2" t="s">
        <v>41</v>
      </c>
      <c r="F112"/>
      <c r="G112"/>
      <c r="H112" t="str">
        <f t="shared" si="4"/>
        <v>1010001_3000|1021002_60</v>
      </c>
      <c r="K112"/>
      <c r="M112" t="s">
        <v>100</v>
      </c>
    </row>
    <row r="113" spans="5:15">
      <c r="E113" s="2" t="s">
        <v>42</v>
      </c>
      <c r="F113"/>
      <c r="G113"/>
      <c r="H113" t="str">
        <f t="shared" si="4"/>
        <v>1010001_3500|1021002_70</v>
      </c>
      <c r="K113"/>
      <c r="M113" t="s">
        <v>100</v>
      </c>
    </row>
    <row r="114" spans="5:15">
      <c r="E114" s="2" t="s">
        <v>43</v>
      </c>
      <c r="F114"/>
      <c r="G114"/>
      <c r="H114" t="str">
        <f t="shared" si="4"/>
        <v>1010001_4000|1021002_80</v>
      </c>
      <c r="K114"/>
      <c r="M114" t="s">
        <v>100</v>
      </c>
    </row>
    <row r="115" spans="5:15">
      <c r="E115" s="2" t="s">
        <v>44</v>
      </c>
      <c r="F115"/>
      <c r="G115"/>
      <c r="H115" t="str">
        <f t="shared" ref="H115:H155" si="5">"1010001_"&amp;(4500+(ROW(A2)-2)*500)&amp;"|1021002_"&amp;(100+(ROW(A2)-2)*20)&amp;""</f>
        <v>1010001_4500|1021002_100</v>
      </c>
      <c r="K115"/>
      <c r="M115" t="s">
        <v>100</v>
      </c>
    </row>
    <row r="116" spans="5:15">
      <c r="E116" s="2" t="s">
        <v>45</v>
      </c>
      <c r="F116"/>
      <c r="G116"/>
      <c r="H116" t="str">
        <f t="shared" si="5"/>
        <v>1010001_5000|1021002_120</v>
      </c>
      <c r="K116"/>
      <c r="M116" t="s">
        <v>100</v>
      </c>
      <c r="O116" s="2" t="s">
        <v>102</v>
      </c>
    </row>
    <row r="117" spans="5:15">
      <c r="E117" s="2" t="s">
        <v>47</v>
      </c>
      <c r="F117"/>
      <c r="G117"/>
      <c r="H117" t="str">
        <f t="shared" si="5"/>
        <v>1010001_5500|1021002_140</v>
      </c>
      <c r="K117"/>
      <c r="M117" t="s">
        <v>100</v>
      </c>
    </row>
    <row r="118" spans="5:15">
      <c r="E118" s="2" t="s">
        <v>48</v>
      </c>
      <c r="F118"/>
      <c r="G118"/>
      <c r="H118" t="str">
        <f t="shared" si="5"/>
        <v>1010001_6000|1021002_160</v>
      </c>
      <c r="K118"/>
      <c r="M118" t="s">
        <v>100</v>
      </c>
    </row>
    <row r="119" spans="5:15">
      <c r="E119" s="2" t="s">
        <v>49</v>
      </c>
      <c r="F119"/>
      <c r="G119"/>
      <c r="H119" t="str">
        <f t="shared" si="5"/>
        <v>1010001_6500|1021002_180</v>
      </c>
      <c r="K119"/>
      <c r="M119" t="s">
        <v>100</v>
      </c>
    </row>
    <row r="120" spans="5:15">
      <c r="E120" s="2" t="s">
        <v>50</v>
      </c>
      <c r="F120"/>
      <c r="G120"/>
      <c r="H120" t="str">
        <f t="shared" si="5"/>
        <v>1010001_7000|1021002_200</v>
      </c>
      <c r="K120"/>
      <c r="M120" t="s">
        <v>100</v>
      </c>
    </row>
    <row r="121" spans="5:15">
      <c r="E121" s="2" t="s">
        <v>51</v>
      </c>
      <c r="F121"/>
      <c r="G121"/>
      <c r="H121" t="str">
        <f t="shared" si="5"/>
        <v>1010001_7500|1021002_220</v>
      </c>
      <c r="K121"/>
      <c r="M121" t="s">
        <v>100</v>
      </c>
      <c r="O121" s="2" t="s">
        <v>103</v>
      </c>
    </row>
    <row r="122" spans="5:15">
      <c r="E122" s="2" t="s">
        <v>53</v>
      </c>
      <c r="F122"/>
      <c r="G122"/>
      <c r="H122" t="str">
        <f t="shared" si="5"/>
        <v>1010001_8000|1021002_240</v>
      </c>
      <c r="K122"/>
      <c r="M122" t="s">
        <v>100</v>
      </c>
    </row>
    <row r="123" spans="5:15">
      <c r="E123" s="2" t="s">
        <v>54</v>
      </c>
      <c r="F123"/>
      <c r="G123"/>
      <c r="H123" t="str">
        <f t="shared" si="5"/>
        <v>1010001_8500|1021002_260</v>
      </c>
      <c r="K123"/>
      <c r="M123" t="s">
        <v>100</v>
      </c>
    </row>
    <row r="124" spans="5:15">
      <c r="E124" s="2" t="s">
        <v>55</v>
      </c>
      <c r="F124"/>
      <c r="G124"/>
      <c r="H124" t="str">
        <f t="shared" si="5"/>
        <v>1010001_9000|1021002_280</v>
      </c>
      <c r="K124"/>
      <c r="M124" t="s">
        <v>100</v>
      </c>
    </row>
    <row r="125" spans="5:15">
      <c r="E125" s="2" t="s">
        <v>56</v>
      </c>
      <c r="F125"/>
      <c r="G125"/>
      <c r="H125" t="str">
        <f t="shared" si="5"/>
        <v>1010001_9500|1021002_300</v>
      </c>
      <c r="K125"/>
      <c r="M125" t="s">
        <v>100</v>
      </c>
    </row>
    <row r="126" spans="5:15">
      <c r="E126" s="2" t="s">
        <v>57</v>
      </c>
      <c r="F126"/>
      <c r="G126"/>
      <c r="H126" t="str">
        <f t="shared" si="5"/>
        <v>1010001_10000|1021002_320</v>
      </c>
      <c r="K126"/>
      <c r="M126" t="s">
        <v>100</v>
      </c>
      <c r="O126" s="2" t="s">
        <v>104</v>
      </c>
    </row>
    <row r="127" spans="5:15">
      <c r="E127" s="2" t="s">
        <v>59</v>
      </c>
      <c r="F127"/>
      <c r="G127"/>
      <c r="H127" t="str">
        <f t="shared" si="5"/>
        <v>1010001_10500|1021002_340</v>
      </c>
      <c r="K127"/>
      <c r="M127" t="s">
        <v>100</v>
      </c>
    </row>
    <row r="128" spans="5:15">
      <c r="E128" s="2" t="s">
        <v>60</v>
      </c>
      <c r="F128"/>
      <c r="G128"/>
      <c r="H128" t="str">
        <f t="shared" si="5"/>
        <v>1010001_11000|1021002_360</v>
      </c>
      <c r="K128"/>
      <c r="M128" t="s">
        <v>100</v>
      </c>
    </row>
    <row r="129" spans="5:15">
      <c r="E129" s="2" t="s">
        <v>61</v>
      </c>
      <c r="F129"/>
      <c r="G129"/>
      <c r="H129" t="str">
        <f t="shared" si="5"/>
        <v>1010001_11500|1021002_380</v>
      </c>
      <c r="K129"/>
      <c r="M129" t="s">
        <v>100</v>
      </c>
    </row>
    <row r="130" spans="5:15">
      <c r="E130" s="2" t="s">
        <v>62</v>
      </c>
      <c r="F130"/>
      <c r="G130"/>
      <c r="H130" t="str">
        <f t="shared" si="5"/>
        <v>1010001_12000|1021002_400</v>
      </c>
      <c r="K130"/>
      <c r="M130" t="s">
        <v>100</v>
      </c>
    </row>
    <row r="131" spans="5:15">
      <c r="E131" s="2" t="s">
        <v>63</v>
      </c>
      <c r="F131"/>
      <c r="G131"/>
      <c r="H131" t="str">
        <f t="shared" si="5"/>
        <v>1010001_12500|1021002_420</v>
      </c>
      <c r="K131"/>
      <c r="M131" t="s">
        <v>100</v>
      </c>
      <c r="O131" s="2" t="s">
        <v>105</v>
      </c>
    </row>
    <row r="132" spans="5:15">
      <c r="E132" s="2" t="s">
        <v>65</v>
      </c>
      <c r="F132"/>
      <c r="G132"/>
      <c r="H132" t="str">
        <f t="shared" si="5"/>
        <v>1010001_13000|1021002_440</v>
      </c>
      <c r="K132"/>
      <c r="M132" t="s">
        <v>100</v>
      </c>
    </row>
    <row r="133" spans="5:15">
      <c r="E133" s="2" t="s">
        <v>66</v>
      </c>
      <c r="F133"/>
      <c r="G133"/>
      <c r="H133" t="str">
        <f t="shared" si="5"/>
        <v>1010001_13500|1021002_460</v>
      </c>
      <c r="K133"/>
      <c r="M133" t="s">
        <v>100</v>
      </c>
    </row>
    <row r="134" spans="5:15">
      <c r="E134" s="2" t="s">
        <v>67</v>
      </c>
      <c r="F134"/>
      <c r="G134"/>
      <c r="H134" t="str">
        <f t="shared" si="5"/>
        <v>1010001_14000|1021002_480</v>
      </c>
      <c r="K134"/>
      <c r="M134" t="s">
        <v>100</v>
      </c>
    </row>
    <row r="135" spans="5:15">
      <c r="E135" s="2" t="s">
        <v>68</v>
      </c>
      <c r="F135"/>
      <c r="G135"/>
      <c r="H135" t="str">
        <f t="shared" si="5"/>
        <v>1010001_14500|1021002_500</v>
      </c>
      <c r="K135"/>
      <c r="M135" t="s">
        <v>100</v>
      </c>
    </row>
    <row r="136" spans="5:15">
      <c r="E136" s="2" t="s">
        <v>69</v>
      </c>
      <c r="F136"/>
      <c r="G136"/>
      <c r="H136" t="str">
        <f t="shared" si="5"/>
        <v>1010001_15000|1021002_520</v>
      </c>
      <c r="K136"/>
      <c r="M136" t="s">
        <v>100</v>
      </c>
      <c r="O136" s="2" t="s">
        <v>106</v>
      </c>
    </row>
    <row r="137" spans="5:15">
      <c r="E137" s="2" t="s">
        <v>71</v>
      </c>
      <c r="F137"/>
      <c r="G137"/>
      <c r="H137" t="str">
        <f t="shared" si="5"/>
        <v>1010001_15500|1021002_540</v>
      </c>
      <c r="K137"/>
      <c r="M137" t="s">
        <v>100</v>
      </c>
    </row>
    <row r="138" spans="5:15">
      <c r="E138" s="2" t="s">
        <v>72</v>
      </c>
      <c r="F138"/>
      <c r="G138"/>
      <c r="H138" t="str">
        <f t="shared" si="5"/>
        <v>1010001_16000|1021002_560</v>
      </c>
      <c r="K138"/>
      <c r="M138" t="s">
        <v>100</v>
      </c>
    </row>
    <row r="139" spans="5:15">
      <c r="E139" s="2" t="s">
        <v>73</v>
      </c>
      <c r="F139"/>
      <c r="G139"/>
      <c r="H139" t="str">
        <f t="shared" si="5"/>
        <v>1010001_16500|1021002_580</v>
      </c>
      <c r="K139"/>
      <c r="M139" t="s">
        <v>100</v>
      </c>
    </row>
    <row r="140" spans="5:15">
      <c r="E140" s="2" t="s">
        <v>74</v>
      </c>
      <c r="F140"/>
      <c r="G140"/>
      <c r="H140" t="str">
        <f t="shared" si="5"/>
        <v>1010001_17000|1021002_600</v>
      </c>
      <c r="K140"/>
      <c r="M140" t="s">
        <v>100</v>
      </c>
    </row>
    <row r="141" spans="5:15">
      <c r="E141" s="2" t="s">
        <v>75</v>
      </c>
      <c r="F141"/>
      <c r="G141"/>
      <c r="H141" t="str">
        <f t="shared" si="5"/>
        <v>1010001_17500|1021002_620</v>
      </c>
      <c r="K141"/>
      <c r="M141" t="s">
        <v>100</v>
      </c>
      <c r="O141" s="2" t="s">
        <v>107</v>
      </c>
    </row>
    <row r="142" spans="5:15">
      <c r="E142" s="2" t="s">
        <v>77</v>
      </c>
      <c r="F142"/>
      <c r="G142"/>
      <c r="H142" t="str">
        <f t="shared" si="5"/>
        <v>1010001_18000|1021002_640</v>
      </c>
      <c r="K142"/>
      <c r="M142" t="s">
        <v>100</v>
      </c>
    </row>
    <row r="143" spans="5:15">
      <c r="E143" s="2" t="s">
        <v>78</v>
      </c>
      <c r="F143"/>
      <c r="G143"/>
      <c r="H143" t="str">
        <f t="shared" si="5"/>
        <v>1010001_18500|1021002_660</v>
      </c>
      <c r="K143"/>
      <c r="M143" t="s">
        <v>100</v>
      </c>
    </row>
    <row r="144" spans="5:15">
      <c r="E144" s="2" t="s">
        <v>79</v>
      </c>
      <c r="F144"/>
      <c r="G144"/>
      <c r="H144" t="str">
        <f t="shared" si="5"/>
        <v>1010001_19000|1021002_680</v>
      </c>
      <c r="K144"/>
      <c r="M144" t="s">
        <v>100</v>
      </c>
    </row>
    <row r="145" spans="1:15">
      <c r="E145" s="2" t="s">
        <v>80</v>
      </c>
      <c r="F145"/>
      <c r="G145"/>
      <c r="H145" t="str">
        <f t="shared" si="5"/>
        <v>1010001_19500|1021002_700</v>
      </c>
      <c r="K145"/>
      <c r="M145" t="s">
        <v>100</v>
      </c>
    </row>
    <row r="146" spans="1:15">
      <c r="E146" s="2" t="s">
        <v>81</v>
      </c>
      <c r="F146"/>
      <c r="G146"/>
      <c r="H146" t="str">
        <f t="shared" si="5"/>
        <v>1010001_20000|1021002_720</v>
      </c>
      <c r="I146" s="2" t="s">
        <v>82</v>
      </c>
      <c r="K146"/>
      <c r="M146" t="s">
        <v>100</v>
      </c>
      <c r="O146" s="2" t="s">
        <v>108</v>
      </c>
    </row>
    <row r="147" spans="1:15">
      <c r="E147" s="2" t="s">
        <v>84</v>
      </c>
      <c r="F147"/>
      <c r="G147"/>
      <c r="H147" t="str">
        <f t="shared" si="5"/>
        <v>1010001_20500|1021002_740</v>
      </c>
      <c r="K147"/>
      <c r="M147" t="s">
        <v>100</v>
      </c>
    </row>
    <row r="148" spans="1:15">
      <c r="E148" s="2" t="s">
        <v>85</v>
      </c>
      <c r="F148"/>
      <c r="G148"/>
      <c r="H148" t="str">
        <f t="shared" si="5"/>
        <v>1010001_21000|1021002_760</v>
      </c>
      <c r="K148"/>
      <c r="M148" t="s">
        <v>100</v>
      </c>
    </row>
    <row r="149" spans="1:15">
      <c r="E149" s="2" t="s">
        <v>86</v>
      </c>
      <c r="F149"/>
      <c r="G149"/>
      <c r="H149" t="str">
        <f t="shared" si="5"/>
        <v>1010001_21500|1021002_780</v>
      </c>
      <c r="K149"/>
      <c r="M149" t="s">
        <v>100</v>
      </c>
    </row>
    <row r="150" spans="1:15">
      <c r="E150" s="2" t="s">
        <v>87</v>
      </c>
      <c r="F150"/>
      <c r="G150"/>
      <c r="H150" t="str">
        <f t="shared" si="5"/>
        <v>1010001_22000|1021002_800</v>
      </c>
      <c r="K150"/>
      <c r="M150" t="s">
        <v>100</v>
      </c>
    </row>
    <row r="151" spans="1:15">
      <c r="E151" s="2" t="s">
        <v>88</v>
      </c>
      <c r="F151"/>
      <c r="G151"/>
      <c r="H151" t="str">
        <f t="shared" si="5"/>
        <v>1010001_22500|1021002_820</v>
      </c>
      <c r="K151"/>
      <c r="M151" t="s">
        <v>100</v>
      </c>
      <c r="O151" s="2" t="s">
        <v>109</v>
      </c>
    </row>
    <row r="152" spans="1:15">
      <c r="E152" s="2" t="s">
        <v>90</v>
      </c>
      <c r="F152"/>
      <c r="G152"/>
      <c r="H152" t="str">
        <f t="shared" si="5"/>
        <v>1010001_23000|1021002_840</v>
      </c>
      <c r="K152"/>
      <c r="M152" t="s">
        <v>100</v>
      </c>
    </row>
    <row r="153" spans="1:15">
      <c r="E153" s="2" t="s">
        <v>91</v>
      </c>
      <c r="F153"/>
      <c r="G153"/>
      <c r="H153" t="str">
        <f t="shared" si="5"/>
        <v>1010001_23500|1021002_860</v>
      </c>
      <c r="K153"/>
      <c r="M153" t="s">
        <v>100</v>
      </c>
    </row>
    <row r="154" spans="1:15">
      <c r="E154" s="2" t="s">
        <v>92</v>
      </c>
      <c r="F154"/>
      <c r="G154"/>
      <c r="H154" t="str">
        <f t="shared" si="5"/>
        <v>1010001_24000|1021002_880</v>
      </c>
      <c r="K154"/>
      <c r="M154" t="s">
        <v>100</v>
      </c>
    </row>
    <row r="155" spans="1:15">
      <c r="E155" s="2" t="s">
        <v>93</v>
      </c>
      <c r="F155"/>
      <c r="G155"/>
      <c r="H155" t="str">
        <f t="shared" si="5"/>
        <v>1010001_24500|1021002_900</v>
      </c>
      <c r="K155"/>
      <c r="M155" t="s">
        <v>100</v>
      </c>
    </row>
    <row r="156" spans="1:15">
      <c r="E156" s="2" t="s">
        <v>94</v>
      </c>
      <c r="F156"/>
      <c r="G156"/>
      <c r="H156"/>
      <c r="I156"/>
      <c r="J156"/>
      <c r="K156"/>
      <c r="M156" t="s">
        <v>100</v>
      </c>
      <c r="O156" s="2" t="s">
        <v>110</v>
      </c>
    </row>
    <row r="157" spans="1:15">
      <c r="F157"/>
      <c r="G157"/>
      <c r="H157"/>
      <c r="I157"/>
      <c r="J157"/>
      <c r="K157"/>
    </row>
    <row r="158" spans="1:15">
      <c r="A158" s="2" t="s">
        <v>111</v>
      </c>
      <c r="B158" s="2" t="s">
        <v>112</v>
      </c>
      <c r="C158" s="2" t="s">
        <v>33</v>
      </c>
      <c r="E158" s="2" t="s">
        <v>34</v>
      </c>
      <c r="F158"/>
      <c r="G158"/>
      <c r="H158" t="str">
        <f t="shared" ref="H158:H165" si="6">"1010001_"&amp;(500+(ROW(A2)-2)*500)&amp;"|1021003_"&amp;(10+(ROW(A2)-2)*10)&amp;""</f>
        <v>1010001_500|1021003_10</v>
      </c>
      <c r="K158"/>
      <c r="M158" t="s">
        <v>113</v>
      </c>
    </row>
    <row r="159" spans="1:15">
      <c r="E159" s="2" t="s">
        <v>36</v>
      </c>
      <c r="F159"/>
      <c r="G159"/>
      <c r="H159" t="str">
        <f t="shared" si="6"/>
        <v>1010001_1000|1021003_20</v>
      </c>
      <c r="K159"/>
      <c r="M159" t="s">
        <v>113</v>
      </c>
    </row>
    <row r="160" spans="1:15">
      <c r="B160" s="6"/>
      <c r="C160"/>
      <c r="D160"/>
      <c r="E160" s="2" t="s">
        <v>37</v>
      </c>
      <c r="F160"/>
      <c r="G160"/>
      <c r="H160" t="str">
        <f t="shared" si="6"/>
        <v>1010001_1500|1021003_30</v>
      </c>
      <c r="K160"/>
      <c r="M160" t="s">
        <v>113</v>
      </c>
    </row>
    <row r="161" spans="2:15">
      <c r="B161" s="6"/>
      <c r="C161"/>
      <c r="D161"/>
      <c r="E161" s="2" t="s">
        <v>38</v>
      </c>
      <c r="F161"/>
      <c r="G161"/>
      <c r="H161" t="str">
        <f t="shared" si="6"/>
        <v>1010001_2000|1021003_40</v>
      </c>
      <c r="K161"/>
      <c r="M161" t="s">
        <v>113</v>
      </c>
    </row>
    <row r="162" spans="2:15">
      <c r="B162" s="6"/>
      <c r="C162"/>
      <c r="D162"/>
      <c r="E162" s="2" t="s">
        <v>39</v>
      </c>
      <c r="F162"/>
      <c r="G162"/>
      <c r="H162" t="str">
        <f t="shared" si="6"/>
        <v>1010001_2500|1021003_50</v>
      </c>
      <c r="K162"/>
      <c r="M162" t="s">
        <v>113</v>
      </c>
      <c r="O162" s="2" t="s">
        <v>114</v>
      </c>
    </row>
    <row r="163" spans="2:15">
      <c r="B163" s="6"/>
      <c r="C163"/>
      <c r="D163"/>
      <c r="E163" s="2" t="s">
        <v>41</v>
      </c>
      <c r="F163"/>
      <c r="G163"/>
      <c r="H163" t="str">
        <f t="shared" si="6"/>
        <v>1010001_3000|1021003_60</v>
      </c>
      <c r="K163"/>
      <c r="M163" t="s">
        <v>113</v>
      </c>
    </row>
    <row r="164" spans="2:15">
      <c r="B164" s="6"/>
      <c r="C164"/>
      <c r="D164"/>
      <c r="E164" s="2" t="s">
        <v>42</v>
      </c>
      <c r="F164"/>
      <c r="G164"/>
      <c r="H164" t="str">
        <f t="shared" si="6"/>
        <v>1010001_3500|1021003_70</v>
      </c>
      <c r="K164"/>
      <c r="M164" t="s">
        <v>113</v>
      </c>
    </row>
    <row r="165" spans="2:15">
      <c r="B165" s="6"/>
      <c r="C165"/>
      <c r="D165"/>
      <c r="E165" s="2" t="s">
        <v>43</v>
      </c>
      <c r="F165"/>
      <c r="G165"/>
      <c r="H165" t="str">
        <f t="shared" si="6"/>
        <v>1010001_4000|1021003_80</v>
      </c>
      <c r="K165"/>
      <c r="M165" t="s">
        <v>113</v>
      </c>
    </row>
    <row r="166" spans="2:15">
      <c r="B166" s="6"/>
      <c r="C166"/>
      <c r="D166"/>
      <c r="E166" s="2" t="s">
        <v>44</v>
      </c>
      <c r="F166"/>
      <c r="G166"/>
      <c r="H166" t="str">
        <f t="shared" ref="H166:H206" si="7">"1010001_"&amp;(4500+(ROW(A2)-2)*500)&amp;"|1021003_"&amp;(100+(ROW(A2)-2)*20)&amp;""</f>
        <v>1010001_4500|1021003_100</v>
      </c>
      <c r="K166"/>
      <c r="M166" t="s">
        <v>113</v>
      </c>
    </row>
    <row r="167" spans="2:15">
      <c r="B167" s="6"/>
      <c r="C167"/>
      <c r="D167"/>
      <c r="E167" s="2" t="s">
        <v>45</v>
      </c>
      <c r="F167"/>
      <c r="G167"/>
      <c r="H167" t="str">
        <f t="shared" si="7"/>
        <v>1010001_5000|1021003_120</v>
      </c>
      <c r="K167"/>
      <c r="M167" t="s">
        <v>113</v>
      </c>
      <c r="O167" s="2" t="s">
        <v>115</v>
      </c>
    </row>
    <row r="168" spans="2:15">
      <c r="B168" s="6"/>
      <c r="C168"/>
      <c r="D168"/>
      <c r="E168" s="2" t="s">
        <v>47</v>
      </c>
      <c r="F168"/>
      <c r="G168"/>
      <c r="H168" t="str">
        <f t="shared" si="7"/>
        <v>1010001_5500|1021003_140</v>
      </c>
      <c r="K168"/>
      <c r="M168" t="s">
        <v>113</v>
      </c>
    </row>
    <row r="169" spans="2:15">
      <c r="B169" s="6"/>
      <c r="C169"/>
      <c r="D169"/>
      <c r="E169" s="2" t="s">
        <v>48</v>
      </c>
      <c r="F169"/>
      <c r="G169"/>
      <c r="H169" t="str">
        <f t="shared" si="7"/>
        <v>1010001_6000|1021003_160</v>
      </c>
      <c r="K169"/>
      <c r="M169" t="s">
        <v>113</v>
      </c>
    </row>
    <row r="170" spans="2:15">
      <c r="B170" s="6"/>
      <c r="C170"/>
      <c r="D170"/>
      <c r="E170" s="2" t="s">
        <v>49</v>
      </c>
      <c r="F170"/>
      <c r="G170"/>
      <c r="H170" t="str">
        <f t="shared" si="7"/>
        <v>1010001_6500|1021003_180</v>
      </c>
      <c r="K170"/>
      <c r="M170" t="s">
        <v>113</v>
      </c>
    </row>
    <row r="171" spans="2:15">
      <c r="B171" s="6"/>
      <c r="C171"/>
      <c r="D171"/>
      <c r="E171" s="2" t="s">
        <v>50</v>
      </c>
      <c r="F171"/>
      <c r="G171"/>
      <c r="H171" t="str">
        <f t="shared" si="7"/>
        <v>1010001_7000|1021003_200</v>
      </c>
      <c r="K171"/>
      <c r="M171" t="s">
        <v>113</v>
      </c>
    </row>
    <row r="172" spans="2:15">
      <c r="B172" s="6"/>
      <c r="C172"/>
      <c r="D172"/>
      <c r="E172" s="2" t="s">
        <v>51</v>
      </c>
      <c r="F172"/>
      <c r="G172"/>
      <c r="H172" t="str">
        <f t="shared" si="7"/>
        <v>1010001_7500|1021003_220</v>
      </c>
      <c r="K172"/>
      <c r="M172" t="s">
        <v>113</v>
      </c>
      <c r="O172" s="2" t="s">
        <v>116</v>
      </c>
    </row>
    <row r="173" spans="2:15">
      <c r="B173" s="6"/>
      <c r="C173"/>
      <c r="D173"/>
      <c r="E173" s="2" t="s">
        <v>53</v>
      </c>
      <c r="F173"/>
      <c r="G173"/>
      <c r="H173" t="str">
        <f t="shared" si="7"/>
        <v>1010001_8000|1021003_240</v>
      </c>
      <c r="K173"/>
      <c r="M173" t="s">
        <v>113</v>
      </c>
    </row>
    <row r="174" spans="2:15">
      <c r="B174" s="6"/>
      <c r="C174"/>
      <c r="D174"/>
      <c r="E174" s="2" t="s">
        <v>54</v>
      </c>
      <c r="F174"/>
      <c r="G174"/>
      <c r="H174" t="str">
        <f t="shared" si="7"/>
        <v>1010001_8500|1021003_260</v>
      </c>
      <c r="K174"/>
      <c r="M174" t="s">
        <v>113</v>
      </c>
    </row>
    <row r="175" spans="2:15">
      <c r="B175" s="6"/>
      <c r="C175"/>
      <c r="D175"/>
      <c r="E175" s="2" t="s">
        <v>55</v>
      </c>
      <c r="F175"/>
      <c r="G175"/>
      <c r="H175" t="str">
        <f t="shared" si="7"/>
        <v>1010001_9000|1021003_280</v>
      </c>
      <c r="K175"/>
      <c r="M175" t="s">
        <v>113</v>
      </c>
    </row>
    <row r="176" spans="2:15">
      <c r="B176" s="6"/>
      <c r="C176"/>
      <c r="D176"/>
      <c r="E176" s="2" t="s">
        <v>56</v>
      </c>
      <c r="F176"/>
      <c r="G176"/>
      <c r="H176" t="str">
        <f t="shared" si="7"/>
        <v>1010001_9500|1021003_300</v>
      </c>
      <c r="K176"/>
      <c r="M176" t="s">
        <v>113</v>
      </c>
    </row>
    <row r="177" spans="2:15">
      <c r="B177" s="6"/>
      <c r="C177"/>
      <c r="D177"/>
      <c r="E177" s="2" t="s">
        <v>57</v>
      </c>
      <c r="F177"/>
      <c r="G177"/>
      <c r="H177" t="str">
        <f t="shared" si="7"/>
        <v>1010001_10000|1021003_320</v>
      </c>
      <c r="K177"/>
      <c r="M177" t="s">
        <v>113</v>
      </c>
      <c r="O177" s="2" t="s">
        <v>117</v>
      </c>
    </row>
    <row r="178" spans="2:15">
      <c r="B178" s="6"/>
      <c r="C178"/>
      <c r="D178"/>
      <c r="E178" s="2" t="s">
        <v>59</v>
      </c>
      <c r="F178"/>
      <c r="G178"/>
      <c r="H178" t="str">
        <f t="shared" si="7"/>
        <v>1010001_10500|1021003_340</v>
      </c>
      <c r="K178"/>
      <c r="M178" t="s">
        <v>113</v>
      </c>
    </row>
    <row r="179" spans="2:15">
      <c r="B179" s="6"/>
      <c r="C179"/>
      <c r="D179"/>
      <c r="E179" s="2" t="s">
        <v>60</v>
      </c>
      <c r="F179"/>
      <c r="G179"/>
      <c r="H179" t="str">
        <f t="shared" si="7"/>
        <v>1010001_11000|1021003_360</v>
      </c>
      <c r="K179"/>
      <c r="M179" t="s">
        <v>113</v>
      </c>
    </row>
    <row r="180" spans="2:15">
      <c r="B180" s="6"/>
      <c r="C180"/>
      <c r="D180"/>
      <c r="E180" s="2" t="s">
        <v>61</v>
      </c>
      <c r="F180"/>
      <c r="G180"/>
      <c r="H180" t="str">
        <f t="shared" si="7"/>
        <v>1010001_11500|1021003_380</v>
      </c>
      <c r="K180"/>
      <c r="M180" t="s">
        <v>113</v>
      </c>
    </row>
    <row r="181" spans="2:15">
      <c r="B181" s="6"/>
      <c r="C181"/>
      <c r="D181"/>
      <c r="E181" s="2" t="s">
        <v>62</v>
      </c>
      <c r="F181"/>
      <c r="G181"/>
      <c r="H181" t="str">
        <f t="shared" si="7"/>
        <v>1010001_12000|1021003_400</v>
      </c>
      <c r="K181"/>
      <c r="M181" t="s">
        <v>113</v>
      </c>
    </row>
    <row r="182" spans="2:15">
      <c r="B182" s="6"/>
      <c r="C182"/>
      <c r="D182"/>
      <c r="E182" s="2" t="s">
        <v>63</v>
      </c>
      <c r="F182"/>
      <c r="G182"/>
      <c r="H182" t="str">
        <f t="shared" si="7"/>
        <v>1010001_12500|1021003_420</v>
      </c>
      <c r="K182"/>
      <c r="M182" t="s">
        <v>113</v>
      </c>
      <c r="O182" s="2" t="s">
        <v>118</v>
      </c>
    </row>
    <row r="183" spans="2:15">
      <c r="B183" s="6"/>
      <c r="C183"/>
      <c r="D183"/>
      <c r="E183" s="2" t="s">
        <v>65</v>
      </c>
      <c r="F183"/>
      <c r="G183"/>
      <c r="H183" t="str">
        <f t="shared" si="7"/>
        <v>1010001_13000|1021003_440</v>
      </c>
      <c r="K183"/>
      <c r="M183" t="s">
        <v>113</v>
      </c>
    </row>
    <row r="184" spans="2:15">
      <c r="B184" s="6"/>
      <c r="C184"/>
      <c r="D184"/>
      <c r="E184" s="2" t="s">
        <v>66</v>
      </c>
      <c r="F184"/>
      <c r="G184"/>
      <c r="H184" t="str">
        <f t="shared" si="7"/>
        <v>1010001_13500|1021003_460</v>
      </c>
      <c r="K184"/>
      <c r="M184" t="s">
        <v>113</v>
      </c>
    </row>
    <row r="185" spans="2:15">
      <c r="B185" s="6"/>
      <c r="C185"/>
      <c r="D185"/>
      <c r="E185" s="2" t="s">
        <v>67</v>
      </c>
      <c r="F185"/>
      <c r="G185"/>
      <c r="H185" t="str">
        <f t="shared" si="7"/>
        <v>1010001_14000|1021003_480</v>
      </c>
      <c r="K185"/>
      <c r="M185" t="s">
        <v>113</v>
      </c>
    </row>
    <row r="186" spans="2:15">
      <c r="B186" s="6"/>
      <c r="C186"/>
      <c r="D186"/>
      <c r="E186" s="2" t="s">
        <v>68</v>
      </c>
      <c r="F186"/>
      <c r="G186"/>
      <c r="H186" t="str">
        <f t="shared" si="7"/>
        <v>1010001_14500|1021003_500</v>
      </c>
      <c r="K186"/>
      <c r="M186" t="s">
        <v>113</v>
      </c>
    </row>
    <row r="187" spans="2:15">
      <c r="B187" s="6"/>
      <c r="C187"/>
      <c r="D187"/>
      <c r="E187" s="2" t="s">
        <v>69</v>
      </c>
      <c r="F187"/>
      <c r="G187"/>
      <c r="H187" t="str">
        <f t="shared" si="7"/>
        <v>1010001_15000|1021003_520</v>
      </c>
      <c r="K187"/>
      <c r="M187" t="s">
        <v>113</v>
      </c>
      <c r="O187" s="2" t="s">
        <v>119</v>
      </c>
    </row>
    <row r="188" spans="2:15">
      <c r="B188" s="6"/>
      <c r="C188"/>
      <c r="D188"/>
      <c r="E188" s="2" t="s">
        <v>71</v>
      </c>
      <c r="F188"/>
      <c r="G188"/>
      <c r="H188" t="str">
        <f t="shared" si="7"/>
        <v>1010001_15500|1021003_540</v>
      </c>
      <c r="K188"/>
      <c r="M188" t="s">
        <v>113</v>
      </c>
    </row>
    <row r="189" spans="2:15">
      <c r="B189" s="6"/>
      <c r="C189"/>
      <c r="D189"/>
      <c r="E189" s="2" t="s">
        <v>72</v>
      </c>
      <c r="F189"/>
      <c r="G189"/>
      <c r="H189" t="str">
        <f t="shared" si="7"/>
        <v>1010001_16000|1021003_560</v>
      </c>
      <c r="K189"/>
      <c r="M189" t="s">
        <v>113</v>
      </c>
    </row>
    <row r="190" spans="2:15">
      <c r="B190" s="6"/>
      <c r="C190"/>
      <c r="D190"/>
      <c r="E190" s="2" t="s">
        <v>73</v>
      </c>
      <c r="F190"/>
      <c r="G190"/>
      <c r="H190" t="str">
        <f t="shared" si="7"/>
        <v>1010001_16500|1021003_580</v>
      </c>
      <c r="K190"/>
      <c r="M190" t="s">
        <v>113</v>
      </c>
    </row>
    <row r="191" spans="2:15">
      <c r="B191" s="6"/>
      <c r="C191"/>
      <c r="D191"/>
      <c r="E191" s="2" t="s">
        <v>74</v>
      </c>
      <c r="F191"/>
      <c r="G191"/>
      <c r="H191" t="str">
        <f t="shared" si="7"/>
        <v>1010001_17000|1021003_600</v>
      </c>
      <c r="K191"/>
      <c r="M191" t="s">
        <v>113</v>
      </c>
    </row>
    <row r="192" spans="2:15">
      <c r="B192" s="6"/>
      <c r="C192"/>
      <c r="D192"/>
      <c r="E192" s="2" t="s">
        <v>75</v>
      </c>
      <c r="F192"/>
      <c r="G192"/>
      <c r="H192" t="str">
        <f t="shared" si="7"/>
        <v>1010001_17500|1021003_620</v>
      </c>
      <c r="K192"/>
      <c r="M192" t="s">
        <v>113</v>
      </c>
      <c r="O192" s="2" t="s">
        <v>120</v>
      </c>
    </row>
    <row r="193" spans="2:15">
      <c r="B193" s="6"/>
      <c r="C193"/>
      <c r="D193"/>
      <c r="E193" s="2" t="s">
        <v>77</v>
      </c>
      <c r="F193"/>
      <c r="G193"/>
      <c r="H193" t="str">
        <f t="shared" si="7"/>
        <v>1010001_18000|1021003_640</v>
      </c>
      <c r="K193"/>
      <c r="M193" t="s">
        <v>113</v>
      </c>
    </row>
    <row r="194" spans="2:15">
      <c r="B194" s="6"/>
      <c r="C194"/>
      <c r="D194"/>
      <c r="E194" s="2" t="s">
        <v>78</v>
      </c>
      <c r="F194"/>
      <c r="G194"/>
      <c r="H194" t="str">
        <f t="shared" si="7"/>
        <v>1010001_18500|1021003_660</v>
      </c>
      <c r="K194"/>
      <c r="M194" t="s">
        <v>113</v>
      </c>
    </row>
    <row r="195" spans="2:15">
      <c r="B195" s="6"/>
      <c r="C195"/>
      <c r="D195"/>
      <c r="E195" s="2" t="s">
        <v>79</v>
      </c>
      <c r="F195"/>
      <c r="G195"/>
      <c r="H195" t="str">
        <f t="shared" si="7"/>
        <v>1010001_19000|1021003_680</v>
      </c>
      <c r="K195"/>
      <c r="M195" t="s">
        <v>113</v>
      </c>
    </row>
    <row r="196" spans="2:15">
      <c r="B196" s="6"/>
      <c r="C196"/>
      <c r="D196"/>
      <c r="E196" s="2" t="s">
        <v>80</v>
      </c>
      <c r="F196"/>
      <c r="G196"/>
      <c r="H196" t="str">
        <f t="shared" si="7"/>
        <v>1010001_19500|1021003_700</v>
      </c>
      <c r="K196"/>
      <c r="M196" t="s">
        <v>113</v>
      </c>
    </row>
    <row r="197" spans="2:15">
      <c r="B197" s="6"/>
      <c r="C197"/>
      <c r="D197"/>
      <c r="E197" s="2" t="s">
        <v>81</v>
      </c>
      <c r="F197"/>
      <c r="G197"/>
      <c r="H197" t="str">
        <f t="shared" si="7"/>
        <v>1010001_20000|1021003_720</v>
      </c>
      <c r="I197" s="2" t="s">
        <v>82</v>
      </c>
      <c r="K197"/>
      <c r="M197" t="s">
        <v>113</v>
      </c>
      <c r="O197" s="2" t="s">
        <v>121</v>
      </c>
    </row>
    <row r="198" spans="2:15">
      <c r="E198" s="2" t="s">
        <v>84</v>
      </c>
      <c r="F198"/>
      <c r="G198"/>
      <c r="H198" t="str">
        <f t="shared" si="7"/>
        <v>1010001_20500|1021003_740</v>
      </c>
      <c r="K198"/>
      <c r="M198" t="s">
        <v>113</v>
      </c>
    </row>
    <row r="199" spans="2:15">
      <c r="E199" s="2" t="s">
        <v>85</v>
      </c>
      <c r="F199"/>
      <c r="G199"/>
      <c r="H199" t="str">
        <f t="shared" si="7"/>
        <v>1010001_21000|1021003_760</v>
      </c>
      <c r="K199"/>
      <c r="M199" t="s">
        <v>113</v>
      </c>
    </row>
    <row r="200" spans="2:15">
      <c r="E200" s="2" t="s">
        <v>86</v>
      </c>
      <c r="F200"/>
      <c r="G200"/>
      <c r="H200" t="str">
        <f t="shared" si="7"/>
        <v>1010001_21500|1021003_780</v>
      </c>
      <c r="K200"/>
      <c r="M200" t="s">
        <v>113</v>
      </c>
    </row>
    <row r="201" spans="2:15">
      <c r="E201" s="2" t="s">
        <v>87</v>
      </c>
      <c r="F201"/>
      <c r="G201"/>
      <c r="H201" t="str">
        <f t="shared" si="7"/>
        <v>1010001_22000|1021003_800</v>
      </c>
      <c r="K201"/>
      <c r="M201" t="s">
        <v>113</v>
      </c>
    </row>
    <row r="202" spans="2:15">
      <c r="E202" s="2" t="s">
        <v>88</v>
      </c>
      <c r="F202"/>
      <c r="G202"/>
      <c r="H202" t="str">
        <f t="shared" si="7"/>
        <v>1010001_22500|1021003_820</v>
      </c>
      <c r="K202"/>
      <c r="M202" t="s">
        <v>113</v>
      </c>
      <c r="O202" s="2" t="s">
        <v>122</v>
      </c>
    </row>
    <row r="203" spans="2:15">
      <c r="E203" s="2" t="s">
        <v>90</v>
      </c>
      <c r="F203"/>
      <c r="G203"/>
      <c r="H203" t="str">
        <f t="shared" si="7"/>
        <v>1010001_23000|1021003_840</v>
      </c>
      <c r="K203"/>
      <c r="M203" t="s">
        <v>113</v>
      </c>
    </row>
    <row r="204" spans="2:15">
      <c r="E204" s="2" t="s">
        <v>91</v>
      </c>
      <c r="F204"/>
      <c r="G204"/>
      <c r="H204" t="str">
        <f t="shared" si="7"/>
        <v>1010001_23500|1021003_860</v>
      </c>
      <c r="K204"/>
      <c r="M204" t="s">
        <v>113</v>
      </c>
    </row>
    <row r="205" spans="2:15">
      <c r="E205" s="2" t="s">
        <v>92</v>
      </c>
      <c r="F205"/>
      <c r="G205"/>
      <c r="H205" t="str">
        <f t="shared" si="7"/>
        <v>1010001_24000|1021003_880</v>
      </c>
      <c r="K205"/>
      <c r="M205" t="s">
        <v>113</v>
      </c>
    </row>
    <row r="206" spans="2:15">
      <c r="E206" s="2" t="s">
        <v>93</v>
      </c>
      <c r="F206"/>
      <c r="G206"/>
      <c r="H206" t="str">
        <f t="shared" si="7"/>
        <v>1010001_24500|1021003_900</v>
      </c>
      <c r="K206"/>
      <c r="M206" t="s">
        <v>113</v>
      </c>
    </row>
    <row r="207" spans="2:15">
      <c r="E207" s="2" t="s">
        <v>94</v>
      </c>
      <c r="F207"/>
      <c r="G207"/>
      <c r="H207"/>
      <c r="I207"/>
      <c r="J207"/>
      <c r="K207"/>
      <c r="M207" t="s">
        <v>113</v>
      </c>
      <c r="O207" s="2" t="s">
        <v>123</v>
      </c>
    </row>
    <row r="208" spans="2:15">
      <c r="B208" s="6"/>
      <c r="C208"/>
      <c r="D208"/>
      <c r="E208" s="6"/>
      <c r="F208"/>
      <c r="G208"/>
      <c r="H208"/>
      <c r="I208"/>
      <c r="J208"/>
      <c r="K208"/>
    </row>
    <row r="209" spans="1:13">
      <c r="A209" s="2" t="s">
        <v>124</v>
      </c>
      <c r="B209" s="2" t="s">
        <v>125</v>
      </c>
      <c r="C209" s="2" t="s">
        <v>33</v>
      </c>
      <c r="D209"/>
      <c r="E209" s="2" t="s">
        <v>34</v>
      </c>
      <c r="F209"/>
      <c r="G209"/>
      <c r="H209" t="str">
        <f t="shared" ref="H209:H216" si="8">"1010001_"&amp;(500+(ROW(A2)-2)*500)&amp;"|1021004_"&amp;(10+(ROW(A2)-2)*10)&amp;""</f>
        <v>1010001_500|1021004_10</v>
      </c>
      <c r="K209"/>
      <c r="M209" t="s">
        <v>126</v>
      </c>
    </row>
    <row r="210" spans="1:13">
      <c r="A210"/>
      <c r="B210" s="6"/>
      <c r="C210"/>
      <c r="D210"/>
      <c r="E210" s="2" t="s">
        <v>36</v>
      </c>
      <c r="F210"/>
      <c r="G210"/>
      <c r="H210" t="str">
        <f t="shared" si="8"/>
        <v>1010001_1000|1021004_20</v>
      </c>
      <c r="K210"/>
      <c r="M210" t="s">
        <v>127</v>
      </c>
    </row>
    <row r="211" spans="1:13">
      <c r="A211"/>
      <c r="B211" s="6"/>
      <c r="C211"/>
      <c r="D211"/>
      <c r="E211" s="2" t="s">
        <v>37</v>
      </c>
      <c r="F211"/>
      <c r="G211"/>
      <c r="H211" t="str">
        <f t="shared" si="8"/>
        <v>1010001_1500|1021004_30</v>
      </c>
      <c r="K211"/>
      <c r="M211" t="s">
        <v>128</v>
      </c>
    </row>
    <row r="212" spans="1:13">
      <c r="A212"/>
      <c r="B212" s="6"/>
      <c r="C212"/>
      <c r="D212"/>
      <c r="E212" s="2" t="s">
        <v>38</v>
      </c>
      <c r="F212"/>
      <c r="G212"/>
      <c r="H212" t="str">
        <f t="shared" si="8"/>
        <v>1010001_2000|1021004_40</v>
      </c>
      <c r="K212"/>
      <c r="M212" t="s">
        <v>129</v>
      </c>
    </row>
    <row r="213" spans="1:13">
      <c r="A213"/>
      <c r="B213" s="6"/>
      <c r="C213"/>
      <c r="D213"/>
      <c r="E213" s="2" t="s">
        <v>39</v>
      </c>
      <c r="F213"/>
      <c r="G213"/>
      <c r="H213" t="str">
        <f t="shared" si="8"/>
        <v>1010001_2500|1021004_50</v>
      </c>
      <c r="K213"/>
      <c r="M213" t="s">
        <v>130</v>
      </c>
    </row>
    <row r="214" spans="1:13">
      <c r="A214"/>
      <c r="B214" s="6"/>
      <c r="C214"/>
      <c r="D214"/>
      <c r="E214" s="2" t="s">
        <v>41</v>
      </c>
      <c r="F214"/>
      <c r="G214"/>
      <c r="H214" t="str">
        <f t="shared" si="8"/>
        <v>1010001_3000|1021004_60</v>
      </c>
      <c r="K214"/>
      <c r="M214" t="s">
        <v>129</v>
      </c>
    </row>
    <row r="215" spans="1:13">
      <c r="A215"/>
      <c r="B215" s="6"/>
      <c r="C215"/>
      <c r="D215"/>
      <c r="E215" s="2" t="s">
        <v>42</v>
      </c>
      <c r="F215"/>
      <c r="G215"/>
      <c r="H215" t="str">
        <f t="shared" si="8"/>
        <v>1010001_3500|1021004_70</v>
      </c>
      <c r="K215"/>
      <c r="M215" t="s">
        <v>128</v>
      </c>
    </row>
    <row r="216" spans="1:13">
      <c r="A216"/>
      <c r="B216" s="6"/>
      <c r="C216"/>
      <c r="D216"/>
      <c r="E216" s="2" t="s">
        <v>43</v>
      </c>
      <c r="F216"/>
      <c r="G216"/>
      <c r="H216" t="str">
        <f t="shared" si="8"/>
        <v>1010001_4000|1021004_80</v>
      </c>
      <c r="K216"/>
      <c r="M216" t="s">
        <v>129</v>
      </c>
    </row>
    <row r="217" spans="1:13">
      <c r="A217"/>
      <c r="B217" s="6"/>
      <c r="C217"/>
      <c r="D217"/>
      <c r="E217" s="2" t="s">
        <v>44</v>
      </c>
      <c r="F217"/>
      <c r="G217"/>
      <c r="H217" t="str">
        <f t="shared" ref="H217:H257" si="9">"1010001_"&amp;(4500+(ROW(A2)-2)*500)&amp;"|1021004_"&amp;(100+(ROW(A2)-2)*20)&amp;""</f>
        <v>1010001_4500|1021004_100</v>
      </c>
      <c r="K217"/>
      <c r="M217" t="s">
        <v>128</v>
      </c>
    </row>
    <row r="218" spans="1:13">
      <c r="A218"/>
      <c r="B218" s="6"/>
      <c r="C218"/>
      <c r="D218"/>
      <c r="E218" s="2" t="s">
        <v>45</v>
      </c>
      <c r="F218"/>
      <c r="G218"/>
      <c r="H218" t="str">
        <f t="shared" si="9"/>
        <v>1010001_5000|1021004_120</v>
      </c>
      <c r="K218"/>
      <c r="M218" t="s">
        <v>129</v>
      </c>
    </row>
    <row r="219" spans="1:13">
      <c r="A219"/>
      <c r="B219" s="6"/>
      <c r="C219"/>
      <c r="D219"/>
      <c r="E219" s="2" t="s">
        <v>47</v>
      </c>
      <c r="F219"/>
      <c r="G219"/>
      <c r="H219" t="str">
        <f t="shared" si="9"/>
        <v>1010001_5500|1021004_140</v>
      </c>
      <c r="K219"/>
      <c r="M219" t="s">
        <v>131</v>
      </c>
    </row>
    <row r="220" spans="1:13">
      <c r="A220"/>
      <c r="B220" s="6"/>
      <c r="C220"/>
      <c r="D220"/>
      <c r="E220" s="2" t="s">
        <v>48</v>
      </c>
      <c r="F220"/>
      <c r="G220"/>
      <c r="H220" t="str">
        <f t="shared" si="9"/>
        <v>1010001_6000|1021004_160</v>
      </c>
      <c r="K220"/>
      <c r="M220" t="s">
        <v>132</v>
      </c>
    </row>
    <row r="221" spans="1:13">
      <c r="A221"/>
      <c r="B221" s="6"/>
      <c r="C221"/>
      <c r="D221"/>
      <c r="E221" s="2" t="s">
        <v>49</v>
      </c>
      <c r="F221"/>
      <c r="G221"/>
      <c r="H221" t="str">
        <f t="shared" si="9"/>
        <v>1010001_6500|1021004_180</v>
      </c>
      <c r="K221"/>
      <c r="M221" t="s">
        <v>133</v>
      </c>
    </row>
    <row r="222" spans="1:13">
      <c r="A222"/>
      <c r="B222" s="6"/>
      <c r="C222"/>
      <c r="D222"/>
      <c r="E222" s="2" t="s">
        <v>50</v>
      </c>
      <c r="F222"/>
      <c r="G222"/>
      <c r="H222" t="str">
        <f t="shared" si="9"/>
        <v>1010001_7000|1021004_200</v>
      </c>
      <c r="K222"/>
      <c r="M222" t="s">
        <v>134</v>
      </c>
    </row>
    <row r="223" spans="1:13">
      <c r="A223"/>
      <c r="B223" s="6"/>
      <c r="C223"/>
      <c r="D223"/>
      <c r="E223" s="2" t="s">
        <v>51</v>
      </c>
      <c r="F223"/>
      <c r="G223"/>
      <c r="H223" t="str">
        <f t="shared" si="9"/>
        <v>1010001_7500|1021004_220</v>
      </c>
      <c r="K223"/>
      <c r="M223" t="s">
        <v>131</v>
      </c>
    </row>
    <row r="224" spans="1:13">
      <c r="A224"/>
      <c r="B224" s="6"/>
      <c r="C224"/>
      <c r="D224"/>
      <c r="E224" s="2" t="s">
        <v>53</v>
      </c>
      <c r="F224"/>
      <c r="G224"/>
      <c r="H224" t="str">
        <f t="shared" si="9"/>
        <v>1010001_8000|1021004_240</v>
      </c>
      <c r="K224"/>
      <c r="M224" t="s">
        <v>133</v>
      </c>
    </row>
    <row r="225" spans="1:13">
      <c r="A225"/>
      <c r="B225" s="6"/>
      <c r="C225"/>
      <c r="D225"/>
      <c r="E225" s="2" t="s">
        <v>54</v>
      </c>
      <c r="F225"/>
      <c r="G225"/>
      <c r="H225" t="str">
        <f t="shared" si="9"/>
        <v>1010001_8500|1021004_260</v>
      </c>
      <c r="K225"/>
      <c r="M225" t="s">
        <v>134</v>
      </c>
    </row>
    <row r="226" spans="1:13">
      <c r="A226"/>
      <c r="B226" s="6"/>
      <c r="C226"/>
      <c r="D226"/>
      <c r="E226" s="2" t="s">
        <v>55</v>
      </c>
      <c r="F226"/>
      <c r="G226"/>
      <c r="H226" t="str">
        <f t="shared" si="9"/>
        <v>1010001_9000|1021004_280</v>
      </c>
      <c r="K226"/>
      <c r="M226" t="s">
        <v>135</v>
      </c>
    </row>
    <row r="227" spans="1:13">
      <c r="A227"/>
      <c r="B227" s="6"/>
      <c r="C227"/>
      <c r="D227"/>
      <c r="E227" s="2" t="s">
        <v>56</v>
      </c>
      <c r="F227"/>
      <c r="G227"/>
      <c r="H227" t="str">
        <f t="shared" si="9"/>
        <v>1010001_9500|1021004_300</v>
      </c>
      <c r="K227"/>
      <c r="M227" t="s">
        <v>133</v>
      </c>
    </row>
    <row r="228" spans="1:13">
      <c r="A228"/>
      <c r="B228" s="6"/>
      <c r="C228"/>
      <c r="D228"/>
      <c r="E228" s="2" t="s">
        <v>57</v>
      </c>
      <c r="F228"/>
      <c r="G228"/>
      <c r="H228" t="str">
        <f t="shared" si="9"/>
        <v>1010001_10000|1021004_320</v>
      </c>
      <c r="K228"/>
      <c r="M228" t="s">
        <v>136</v>
      </c>
    </row>
    <row r="229" spans="1:13">
      <c r="A229"/>
      <c r="B229" s="6"/>
      <c r="C229"/>
      <c r="D229"/>
      <c r="E229" s="2" t="s">
        <v>59</v>
      </c>
      <c r="F229"/>
      <c r="G229"/>
      <c r="H229" t="str">
        <f t="shared" si="9"/>
        <v>1010001_10500|1021004_340</v>
      </c>
      <c r="K229"/>
      <c r="M229" t="s">
        <v>137</v>
      </c>
    </row>
    <row r="230" spans="1:13">
      <c r="A230"/>
      <c r="B230" s="6"/>
      <c r="C230"/>
      <c r="D230"/>
      <c r="E230" s="2" t="s">
        <v>60</v>
      </c>
      <c r="F230"/>
      <c r="G230"/>
      <c r="H230" t="str">
        <f t="shared" si="9"/>
        <v>1010001_11000|1021004_360</v>
      </c>
      <c r="K230"/>
      <c r="M230" t="s">
        <v>138</v>
      </c>
    </row>
    <row r="231" spans="1:13">
      <c r="A231"/>
      <c r="B231" s="6"/>
      <c r="C231"/>
      <c r="D231"/>
      <c r="E231" s="2" t="s">
        <v>61</v>
      </c>
      <c r="F231"/>
      <c r="G231"/>
      <c r="H231" t="str">
        <f t="shared" si="9"/>
        <v>1010001_11500|1021004_380</v>
      </c>
      <c r="K231"/>
      <c r="M231" t="s">
        <v>139</v>
      </c>
    </row>
    <row r="232" spans="1:13">
      <c r="A232"/>
      <c r="B232" s="6"/>
      <c r="C232"/>
      <c r="D232"/>
      <c r="E232" s="2" t="s">
        <v>62</v>
      </c>
      <c r="F232"/>
      <c r="G232"/>
      <c r="H232" t="str">
        <f t="shared" si="9"/>
        <v>1010001_12000|1021004_400</v>
      </c>
      <c r="K232"/>
      <c r="M232" t="s">
        <v>138</v>
      </c>
    </row>
    <row r="233" spans="1:13">
      <c r="A233"/>
      <c r="B233" s="6"/>
      <c r="C233"/>
      <c r="D233"/>
      <c r="E233" s="2" t="s">
        <v>63</v>
      </c>
      <c r="F233"/>
      <c r="G233"/>
      <c r="H233" t="str">
        <f t="shared" si="9"/>
        <v>1010001_12500|1021004_420</v>
      </c>
      <c r="K233"/>
      <c r="M233" t="s">
        <v>140</v>
      </c>
    </row>
    <row r="234" spans="1:13">
      <c r="A234"/>
      <c r="B234" s="6"/>
      <c r="C234"/>
      <c r="D234"/>
      <c r="E234" s="2" t="s">
        <v>65</v>
      </c>
      <c r="F234"/>
      <c r="G234"/>
      <c r="H234" t="str">
        <f t="shared" si="9"/>
        <v>1010001_13000|1021004_440</v>
      </c>
      <c r="K234"/>
      <c r="M234" t="s">
        <v>138</v>
      </c>
    </row>
    <row r="235" spans="1:13">
      <c r="A235"/>
      <c r="B235" s="6"/>
      <c r="C235"/>
      <c r="D235"/>
      <c r="E235" s="2" t="s">
        <v>66</v>
      </c>
      <c r="F235"/>
      <c r="G235"/>
      <c r="H235" t="str">
        <f t="shared" si="9"/>
        <v>1010001_13500|1021004_460</v>
      </c>
      <c r="K235"/>
      <c r="M235" t="s">
        <v>139</v>
      </c>
    </row>
    <row r="236" spans="1:13">
      <c r="A236"/>
      <c r="B236" s="6"/>
      <c r="C236"/>
      <c r="D236"/>
      <c r="E236" s="2" t="s">
        <v>67</v>
      </c>
      <c r="F236"/>
      <c r="G236"/>
      <c r="H236" t="str">
        <f t="shared" si="9"/>
        <v>1010001_14000|1021004_480</v>
      </c>
      <c r="K236"/>
      <c r="M236" t="s">
        <v>138</v>
      </c>
    </row>
    <row r="237" spans="1:13">
      <c r="A237"/>
      <c r="B237" s="6"/>
      <c r="C237"/>
      <c r="D237"/>
      <c r="E237" s="2" t="s">
        <v>68</v>
      </c>
      <c r="F237"/>
      <c r="G237"/>
      <c r="H237" t="str">
        <f t="shared" si="9"/>
        <v>1010001_14500|1021004_500</v>
      </c>
      <c r="K237"/>
      <c r="M237" t="s">
        <v>138</v>
      </c>
    </row>
    <row r="238" spans="1:13">
      <c r="A238"/>
      <c r="B238" s="6"/>
      <c r="C238"/>
      <c r="D238"/>
      <c r="E238" s="2" t="s">
        <v>69</v>
      </c>
      <c r="F238"/>
      <c r="G238"/>
      <c r="H238" t="str">
        <f t="shared" si="9"/>
        <v>1010001_15000|1021004_520</v>
      </c>
      <c r="K238"/>
      <c r="M238" t="s">
        <v>140</v>
      </c>
    </row>
    <row r="239" spans="1:13">
      <c r="A239"/>
      <c r="B239" s="6"/>
      <c r="C239"/>
      <c r="D239"/>
      <c r="E239" s="2" t="s">
        <v>71</v>
      </c>
      <c r="F239"/>
      <c r="G239"/>
      <c r="H239" t="str">
        <f t="shared" si="9"/>
        <v>1010001_15500|1021004_540</v>
      </c>
      <c r="K239"/>
      <c r="M239" t="s">
        <v>141</v>
      </c>
    </row>
    <row r="240" spans="1:13">
      <c r="A240"/>
      <c r="B240" s="6"/>
      <c r="C240"/>
      <c r="D240"/>
      <c r="E240" s="2" t="s">
        <v>72</v>
      </c>
      <c r="F240"/>
      <c r="G240"/>
      <c r="H240" t="str">
        <f t="shared" si="9"/>
        <v>1010001_16000|1021004_560</v>
      </c>
      <c r="K240"/>
      <c r="M240" t="s">
        <v>142</v>
      </c>
    </row>
    <row r="241" spans="1:13">
      <c r="A241"/>
      <c r="B241" s="6"/>
      <c r="C241"/>
      <c r="D241"/>
      <c r="E241" s="2" t="s">
        <v>73</v>
      </c>
      <c r="F241"/>
      <c r="G241"/>
      <c r="H241" t="str">
        <f t="shared" si="9"/>
        <v>1010001_16500|1021004_580</v>
      </c>
      <c r="K241"/>
      <c r="M241" t="s">
        <v>141</v>
      </c>
    </row>
    <row r="242" spans="1:13">
      <c r="A242"/>
      <c r="B242" s="6"/>
      <c r="C242"/>
      <c r="D242"/>
      <c r="E242" s="2" t="s">
        <v>74</v>
      </c>
      <c r="F242"/>
      <c r="G242"/>
      <c r="H242" t="str">
        <f t="shared" si="9"/>
        <v>1010001_17000|1021004_600</v>
      </c>
      <c r="K242"/>
      <c r="M242" t="s">
        <v>142</v>
      </c>
    </row>
    <row r="243" spans="1:13">
      <c r="A243"/>
      <c r="B243" s="6"/>
      <c r="C243"/>
      <c r="D243"/>
      <c r="E243" s="2" t="s">
        <v>75</v>
      </c>
      <c r="F243"/>
      <c r="G243"/>
      <c r="H243" t="str">
        <f t="shared" si="9"/>
        <v>1010001_17500|1021004_620</v>
      </c>
      <c r="K243"/>
      <c r="M243" t="s">
        <v>143</v>
      </c>
    </row>
    <row r="244" spans="1:13">
      <c r="A244"/>
      <c r="B244" s="6"/>
      <c r="C244"/>
      <c r="D244"/>
      <c r="E244" s="2" t="s">
        <v>77</v>
      </c>
      <c r="F244"/>
      <c r="G244"/>
      <c r="H244" t="str">
        <f t="shared" si="9"/>
        <v>1010001_18000|1021004_640</v>
      </c>
      <c r="K244"/>
      <c r="M244" t="s">
        <v>141</v>
      </c>
    </row>
    <row r="245" spans="1:13">
      <c r="A245"/>
      <c r="B245" s="6"/>
      <c r="C245"/>
      <c r="D245"/>
      <c r="E245" s="2" t="s">
        <v>78</v>
      </c>
      <c r="F245"/>
      <c r="G245"/>
      <c r="H245" t="str">
        <f t="shared" si="9"/>
        <v>1010001_18500|1021004_660</v>
      </c>
      <c r="K245"/>
      <c r="M245" t="s">
        <v>142</v>
      </c>
    </row>
    <row r="246" spans="1:13">
      <c r="A246"/>
      <c r="B246" s="6"/>
      <c r="C246"/>
      <c r="D246"/>
      <c r="E246" s="2" t="s">
        <v>79</v>
      </c>
      <c r="F246"/>
      <c r="G246"/>
      <c r="H246" t="str">
        <f t="shared" si="9"/>
        <v>1010001_19000|1021004_680</v>
      </c>
      <c r="K246"/>
      <c r="M246" t="s">
        <v>141</v>
      </c>
    </row>
    <row r="247" spans="1:13">
      <c r="A247"/>
      <c r="E247" s="2" t="s">
        <v>80</v>
      </c>
      <c r="F247"/>
      <c r="G247"/>
      <c r="H247" t="str">
        <f t="shared" si="9"/>
        <v>1010001_19500|1021004_700</v>
      </c>
      <c r="K247"/>
      <c r="M247" t="s">
        <v>142</v>
      </c>
    </row>
    <row r="248" spans="1:13">
      <c r="A248"/>
      <c r="E248" s="2" t="s">
        <v>81</v>
      </c>
      <c r="F248"/>
      <c r="G248"/>
      <c r="H248" t="str">
        <f t="shared" si="9"/>
        <v>1010001_20000|1021004_720</v>
      </c>
      <c r="I248" s="2" t="s">
        <v>82</v>
      </c>
      <c r="K248"/>
      <c r="M248" t="s">
        <v>143</v>
      </c>
    </row>
    <row r="249" spans="1:13">
      <c r="A249"/>
      <c r="E249" s="2" t="s">
        <v>84</v>
      </c>
      <c r="F249"/>
      <c r="G249"/>
      <c r="H249" t="str">
        <f t="shared" si="9"/>
        <v>1010001_20500|1021004_740</v>
      </c>
      <c r="K249"/>
      <c r="M249" t="s">
        <v>143</v>
      </c>
    </row>
    <row r="250" spans="1:13">
      <c r="A250"/>
      <c r="E250" s="2" t="s">
        <v>85</v>
      </c>
      <c r="F250"/>
      <c r="G250"/>
      <c r="H250" t="str">
        <f t="shared" si="9"/>
        <v>1010001_21000|1021004_760</v>
      </c>
      <c r="K250"/>
      <c r="M250" t="s">
        <v>143</v>
      </c>
    </row>
    <row r="251" spans="1:13">
      <c r="A251"/>
      <c r="E251" s="2" t="s">
        <v>86</v>
      </c>
      <c r="F251"/>
      <c r="G251"/>
      <c r="H251" t="str">
        <f t="shared" si="9"/>
        <v>1010001_21500|1021004_780</v>
      </c>
      <c r="K251"/>
      <c r="M251" t="s">
        <v>143</v>
      </c>
    </row>
    <row r="252" spans="1:13">
      <c r="A252"/>
      <c r="E252" s="2" t="s">
        <v>87</v>
      </c>
      <c r="F252"/>
      <c r="G252"/>
      <c r="H252" t="str">
        <f t="shared" si="9"/>
        <v>1010001_22000|1021004_800</v>
      </c>
      <c r="K252"/>
      <c r="M252" t="s">
        <v>143</v>
      </c>
    </row>
    <row r="253" spans="1:13">
      <c r="A253"/>
      <c r="E253" s="2" t="s">
        <v>88</v>
      </c>
      <c r="F253"/>
      <c r="G253"/>
      <c r="H253" t="str">
        <f t="shared" si="9"/>
        <v>1010001_22500|1021004_820</v>
      </c>
      <c r="K253"/>
      <c r="M253" t="s">
        <v>143</v>
      </c>
    </row>
    <row r="254" spans="1:13">
      <c r="A254"/>
      <c r="E254" s="2" t="s">
        <v>90</v>
      </c>
      <c r="F254"/>
      <c r="G254"/>
      <c r="H254" t="str">
        <f t="shared" si="9"/>
        <v>1010001_23000|1021004_840</v>
      </c>
      <c r="K254"/>
      <c r="M254" t="s">
        <v>143</v>
      </c>
    </row>
    <row r="255" spans="1:13">
      <c r="A255"/>
      <c r="E255" s="2" t="s">
        <v>91</v>
      </c>
      <c r="F255"/>
      <c r="G255"/>
      <c r="H255" t="str">
        <f t="shared" si="9"/>
        <v>1010001_23500|1021004_860</v>
      </c>
      <c r="K255"/>
      <c r="M255" t="s">
        <v>143</v>
      </c>
    </row>
    <row r="256" spans="1:13">
      <c r="A256"/>
      <c r="E256" s="2" t="s">
        <v>92</v>
      </c>
      <c r="F256"/>
      <c r="G256"/>
      <c r="H256" t="str">
        <f t="shared" si="9"/>
        <v>1010001_24000|1021004_880</v>
      </c>
      <c r="K256"/>
      <c r="M256" t="s">
        <v>143</v>
      </c>
    </row>
    <row r="257" spans="1:15">
      <c r="A257"/>
      <c r="E257" s="2" t="s">
        <v>93</v>
      </c>
      <c r="F257"/>
      <c r="G257"/>
      <c r="H257" t="str">
        <f t="shared" si="9"/>
        <v>1010001_24500|1021004_900</v>
      </c>
      <c r="K257"/>
      <c r="M257" t="s">
        <v>143</v>
      </c>
    </row>
    <row r="258" spans="1:15">
      <c r="A258"/>
      <c r="E258" s="2" t="s">
        <v>94</v>
      </c>
      <c r="F258"/>
      <c r="G258"/>
      <c r="H258"/>
      <c r="I258"/>
      <c r="J258"/>
      <c r="K258"/>
      <c r="M258" t="s">
        <v>143</v>
      </c>
    </row>
    <row r="259" spans="1:15">
      <c r="F259"/>
      <c r="G259"/>
      <c r="K259"/>
    </row>
    <row r="260" spans="1:15">
      <c r="A260" s="2" t="s">
        <v>144</v>
      </c>
      <c r="B260" s="2" t="s">
        <v>145</v>
      </c>
      <c r="C260" s="2" t="s">
        <v>33</v>
      </c>
      <c r="E260" s="2" t="s">
        <v>34</v>
      </c>
      <c r="F260"/>
      <c r="G260"/>
      <c r="H260" t="str">
        <f t="shared" ref="H260:H267" si="10">"1010001_"&amp;(500+(ROW(A2)-2)*500)&amp;"|1021005_"&amp;(10+(ROW(A2)-2)*10)&amp;""</f>
        <v>1010001_500|1021005_10</v>
      </c>
      <c r="K260"/>
      <c r="M260" t="s">
        <v>35</v>
      </c>
    </row>
    <row r="261" spans="1:15">
      <c r="A261" s="2" t="s">
        <v>30</v>
      </c>
      <c r="E261" s="2" t="s">
        <v>36</v>
      </c>
      <c r="F261"/>
      <c r="G261"/>
      <c r="H261" t="str">
        <f t="shared" si="10"/>
        <v>1010001_1000|1021005_20</v>
      </c>
      <c r="K261"/>
      <c r="M261" t="s">
        <v>35</v>
      </c>
    </row>
    <row r="262" spans="1:15">
      <c r="E262" s="2" t="s">
        <v>37</v>
      </c>
      <c r="F262"/>
      <c r="G262"/>
      <c r="H262" t="str">
        <f t="shared" si="10"/>
        <v>1010001_1500|1021005_30</v>
      </c>
      <c r="K262"/>
      <c r="M262" t="s">
        <v>35</v>
      </c>
    </row>
    <row r="263" spans="1:15">
      <c r="E263" s="2" t="s">
        <v>38</v>
      </c>
      <c r="F263"/>
      <c r="G263"/>
      <c r="H263" t="str">
        <f t="shared" si="10"/>
        <v>1010001_2000|1021005_40</v>
      </c>
      <c r="K263"/>
      <c r="M263" t="s">
        <v>35</v>
      </c>
    </row>
    <row r="264" spans="1:15">
      <c r="E264" s="2" t="s">
        <v>39</v>
      </c>
      <c r="F264"/>
      <c r="G264"/>
      <c r="H264" t="str">
        <f t="shared" si="10"/>
        <v>1010001_2500|1021005_50</v>
      </c>
      <c r="K264"/>
      <c r="M264" t="s">
        <v>35</v>
      </c>
      <c r="O264" s="2" t="s">
        <v>40</v>
      </c>
    </row>
    <row r="265" spans="1:15">
      <c r="E265" s="2" t="s">
        <v>41</v>
      </c>
      <c r="F265"/>
      <c r="G265"/>
      <c r="H265" t="str">
        <f t="shared" si="10"/>
        <v>1010001_3000|1021005_60</v>
      </c>
      <c r="K265"/>
      <c r="M265" t="s">
        <v>35</v>
      </c>
    </row>
    <row r="266" spans="1:15">
      <c r="E266" s="2" t="s">
        <v>42</v>
      </c>
      <c r="F266"/>
      <c r="G266"/>
      <c r="H266" t="str">
        <f t="shared" si="10"/>
        <v>1010001_3500|1021005_70</v>
      </c>
      <c r="K266"/>
      <c r="M266" t="s">
        <v>35</v>
      </c>
    </row>
    <row r="267" spans="1:15">
      <c r="E267" s="2" t="s">
        <v>43</v>
      </c>
      <c r="F267"/>
      <c r="G267"/>
      <c r="H267" t="str">
        <f t="shared" si="10"/>
        <v>1010001_4000|1021005_80</v>
      </c>
      <c r="K267"/>
      <c r="M267" t="s">
        <v>35</v>
      </c>
    </row>
    <row r="268" spans="1:15">
      <c r="E268" s="2" t="s">
        <v>44</v>
      </c>
      <c r="F268"/>
      <c r="G268"/>
      <c r="H268" t="str">
        <f t="shared" ref="H268:H308" si="11">"1010001_"&amp;(4500+(ROW(A2)-2)*500)&amp;"|1021005_"&amp;(100+(ROW(A2)-2)*20)&amp;""</f>
        <v>1010001_4500|1021005_100</v>
      </c>
      <c r="K268"/>
      <c r="M268" t="s">
        <v>35</v>
      </c>
    </row>
    <row r="269" spans="1:15">
      <c r="E269" s="2" t="s">
        <v>45</v>
      </c>
      <c r="F269"/>
      <c r="G269"/>
      <c r="H269" t="str">
        <f t="shared" si="11"/>
        <v>1010001_5000|1021005_120</v>
      </c>
      <c r="K269"/>
      <c r="M269" t="s">
        <v>35</v>
      </c>
      <c r="O269" s="2" t="s">
        <v>46</v>
      </c>
    </row>
    <row r="270" spans="1:15">
      <c r="E270" s="2" t="s">
        <v>47</v>
      </c>
      <c r="F270"/>
      <c r="G270"/>
      <c r="H270" t="str">
        <f t="shared" si="11"/>
        <v>1010001_5500|1021005_140</v>
      </c>
      <c r="K270"/>
      <c r="M270" t="s">
        <v>35</v>
      </c>
    </row>
    <row r="271" spans="1:15">
      <c r="E271" s="2" t="s">
        <v>48</v>
      </c>
      <c r="F271"/>
      <c r="G271"/>
      <c r="H271" t="str">
        <f t="shared" si="11"/>
        <v>1010001_6000|1021005_160</v>
      </c>
      <c r="K271"/>
      <c r="M271" t="s">
        <v>35</v>
      </c>
    </row>
    <row r="272" spans="1:15">
      <c r="E272" s="2" t="s">
        <v>49</v>
      </c>
      <c r="F272"/>
      <c r="G272"/>
      <c r="H272" t="str">
        <f t="shared" si="11"/>
        <v>1010001_6500|1021005_180</v>
      </c>
      <c r="K272"/>
      <c r="M272" t="s">
        <v>35</v>
      </c>
    </row>
    <row r="273" spans="5:15">
      <c r="E273" s="2" t="s">
        <v>50</v>
      </c>
      <c r="F273"/>
      <c r="G273"/>
      <c r="H273" t="str">
        <f t="shared" si="11"/>
        <v>1010001_7000|1021005_200</v>
      </c>
      <c r="K273"/>
      <c r="M273" t="s">
        <v>35</v>
      </c>
    </row>
    <row r="274" spans="5:15">
      <c r="E274" s="2" t="s">
        <v>51</v>
      </c>
      <c r="F274"/>
      <c r="G274"/>
      <c r="H274" t="str">
        <f t="shared" si="11"/>
        <v>1010001_7500|1021005_220</v>
      </c>
      <c r="K274"/>
      <c r="M274" t="s">
        <v>35</v>
      </c>
      <c r="O274" s="2" t="s">
        <v>52</v>
      </c>
    </row>
    <row r="275" spans="5:15">
      <c r="E275" s="2" t="s">
        <v>53</v>
      </c>
      <c r="F275"/>
      <c r="G275"/>
      <c r="H275" t="str">
        <f t="shared" si="11"/>
        <v>1010001_8000|1021005_240</v>
      </c>
      <c r="K275"/>
      <c r="M275" t="s">
        <v>35</v>
      </c>
    </row>
    <row r="276" spans="5:15">
      <c r="E276" s="2" t="s">
        <v>54</v>
      </c>
      <c r="F276"/>
      <c r="G276"/>
      <c r="H276" t="str">
        <f t="shared" si="11"/>
        <v>1010001_8500|1021005_260</v>
      </c>
      <c r="K276"/>
      <c r="M276" t="s">
        <v>35</v>
      </c>
    </row>
    <row r="277" spans="5:15">
      <c r="E277" s="2" t="s">
        <v>55</v>
      </c>
      <c r="F277"/>
      <c r="G277"/>
      <c r="H277" t="str">
        <f t="shared" si="11"/>
        <v>1010001_9000|1021005_280</v>
      </c>
      <c r="K277"/>
      <c r="M277" t="s">
        <v>35</v>
      </c>
    </row>
    <row r="278" spans="5:15">
      <c r="E278" s="2" t="s">
        <v>56</v>
      </c>
      <c r="F278"/>
      <c r="G278"/>
      <c r="H278" t="str">
        <f t="shared" si="11"/>
        <v>1010001_9500|1021005_300</v>
      </c>
      <c r="K278"/>
      <c r="M278" t="s">
        <v>35</v>
      </c>
    </row>
    <row r="279" spans="5:15">
      <c r="E279" s="2" t="s">
        <v>57</v>
      </c>
      <c r="F279"/>
      <c r="G279"/>
      <c r="H279" t="str">
        <f t="shared" si="11"/>
        <v>1010001_10000|1021005_320</v>
      </c>
      <c r="K279"/>
      <c r="M279" t="s">
        <v>35</v>
      </c>
      <c r="O279" s="2" t="s">
        <v>58</v>
      </c>
    </row>
    <row r="280" spans="5:15">
      <c r="E280" s="2" t="s">
        <v>59</v>
      </c>
      <c r="F280"/>
      <c r="G280"/>
      <c r="H280" t="str">
        <f t="shared" si="11"/>
        <v>1010001_10500|1021005_340</v>
      </c>
      <c r="K280"/>
      <c r="M280" t="s">
        <v>35</v>
      </c>
    </row>
    <row r="281" spans="5:15">
      <c r="E281" s="2" t="s">
        <v>60</v>
      </c>
      <c r="F281"/>
      <c r="G281"/>
      <c r="H281" t="str">
        <f t="shared" si="11"/>
        <v>1010001_11000|1021005_360</v>
      </c>
      <c r="K281"/>
      <c r="M281" t="s">
        <v>35</v>
      </c>
    </row>
    <row r="282" spans="5:15">
      <c r="E282" s="2" t="s">
        <v>61</v>
      </c>
      <c r="F282"/>
      <c r="G282"/>
      <c r="H282" t="str">
        <f t="shared" si="11"/>
        <v>1010001_11500|1021005_380</v>
      </c>
      <c r="K282"/>
      <c r="M282" t="s">
        <v>35</v>
      </c>
    </row>
    <row r="283" spans="5:15">
      <c r="E283" s="2" t="s">
        <v>62</v>
      </c>
      <c r="F283"/>
      <c r="G283"/>
      <c r="H283" t="str">
        <f t="shared" si="11"/>
        <v>1010001_12000|1021005_400</v>
      </c>
      <c r="K283"/>
      <c r="M283" t="s">
        <v>35</v>
      </c>
    </row>
    <row r="284" spans="5:15">
      <c r="E284" s="2" t="s">
        <v>63</v>
      </c>
      <c r="F284"/>
      <c r="G284"/>
      <c r="H284" t="str">
        <f t="shared" si="11"/>
        <v>1010001_12500|1021005_420</v>
      </c>
      <c r="K284"/>
      <c r="M284" t="s">
        <v>35</v>
      </c>
      <c r="O284" s="2" t="s">
        <v>64</v>
      </c>
    </row>
    <row r="285" spans="5:15">
      <c r="E285" s="2" t="s">
        <v>65</v>
      </c>
      <c r="F285"/>
      <c r="G285"/>
      <c r="H285" t="str">
        <f t="shared" si="11"/>
        <v>1010001_13000|1021005_440</v>
      </c>
      <c r="K285"/>
      <c r="M285" t="s">
        <v>35</v>
      </c>
    </row>
    <row r="286" spans="5:15">
      <c r="E286" s="2" t="s">
        <v>66</v>
      </c>
      <c r="F286"/>
      <c r="G286"/>
      <c r="H286" t="str">
        <f t="shared" si="11"/>
        <v>1010001_13500|1021005_460</v>
      </c>
      <c r="K286"/>
      <c r="M286" t="s">
        <v>35</v>
      </c>
    </row>
    <row r="287" spans="5:15">
      <c r="E287" s="2" t="s">
        <v>67</v>
      </c>
      <c r="F287"/>
      <c r="G287"/>
      <c r="H287" t="str">
        <f t="shared" si="11"/>
        <v>1010001_14000|1021005_480</v>
      </c>
      <c r="K287"/>
      <c r="M287" t="s">
        <v>35</v>
      </c>
    </row>
    <row r="288" spans="5:15">
      <c r="E288" s="2" t="s">
        <v>68</v>
      </c>
      <c r="F288"/>
      <c r="G288"/>
      <c r="H288" t="str">
        <f t="shared" si="11"/>
        <v>1010001_14500|1021005_500</v>
      </c>
      <c r="K288"/>
      <c r="M288" t="s">
        <v>35</v>
      </c>
    </row>
    <row r="289" spans="5:15">
      <c r="E289" s="2" t="s">
        <v>69</v>
      </c>
      <c r="F289"/>
      <c r="G289"/>
      <c r="H289" t="str">
        <f t="shared" si="11"/>
        <v>1010001_15000|1021005_520</v>
      </c>
      <c r="K289"/>
      <c r="M289" t="s">
        <v>35</v>
      </c>
      <c r="O289" s="2" t="s">
        <v>70</v>
      </c>
    </row>
    <row r="290" spans="5:15">
      <c r="E290" s="2" t="s">
        <v>71</v>
      </c>
      <c r="F290"/>
      <c r="G290"/>
      <c r="H290" t="str">
        <f t="shared" si="11"/>
        <v>1010001_15500|1021005_540</v>
      </c>
      <c r="K290"/>
      <c r="M290" t="s">
        <v>35</v>
      </c>
    </row>
    <row r="291" spans="5:15">
      <c r="E291" s="2" t="s">
        <v>72</v>
      </c>
      <c r="F291"/>
      <c r="G291"/>
      <c r="H291" t="str">
        <f t="shared" si="11"/>
        <v>1010001_16000|1021005_560</v>
      </c>
      <c r="K291"/>
      <c r="M291" t="s">
        <v>35</v>
      </c>
    </row>
    <row r="292" spans="5:15">
      <c r="E292" s="2" t="s">
        <v>73</v>
      </c>
      <c r="F292"/>
      <c r="G292"/>
      <c r="H292" t="str">
        <f t="shared" si="11"/>
        <v>1010001_16500|1021005_580</v>
      </c>
      <c r="K292"/>
      <c r="M292" t="s">
        <v>35</v>
      </c>
    </row>
    <row r="293" spans="5:15">
      <c r="E293" s="2" t="s">
        <v>74</v>
      </c>
      <c r="F293"/>
      <c r="G293"/>
      <c r="H293" t="str">
        <f t="shared" si="11"/>
        <v>1010001_17000|1021005_600</v>
      </c>
      <c r="K293"/>
      <c r="M293" t="s">
        <v>35</v>
      </c>
    </row>
    <row r="294" spans="5:15">
      <c r="E294" s="2" t="s">
        <v>75</v>
      </c>
      <c r="F294"/>
      <c r="G294"/>
      <c r="H294" t="str">
        <f t="shared" si="11"/>
        <v>1010001_17500|1021005_620</v>
      </c>
      <c r="K294"/>
      <c r="M294" t="s">
        <v>35</v>
      </c>
      <c r="O294" s="2" t="s">
        <v>76</v>
      </c>
    </row>
    <row r="295" spans="5:15">
      <c r="E295" s="2" t="s">
        <v>77</v>
      </c>
      <c r="F295"/>
      <c r="G295"/>
      <c r="H295" t="str">
        <f t="shared" si="11"/>
        <v>1010001_18000|1021005_640</v>
      </c>
      <c r="K295"/>
      <c r="M295" t="s">
        <v>35</v>
      </c>
    </row>
    <row r="296" spans="5:15">
      <c r="E296" s="2" t="s">
        <v>78</v>
      </c>
      <c r="F296"/>
      <c r="G296"/>
      <c r="H296" t="str">
        <f t="shared" si="11"/>
        <v>1010001_18500|1021005_660</v>
      </c>
      <c r="K296"/>
      <c r="M296" t="s">
        <v>35</v>
      </c>
    </row>
    <row r="297" spans="5:15">
      <c r="E297" s="2" t="s">
        <v>79</v>
      </c>
      <c r="F297"/>
      <c r="G297"/>
      <c r="H297" t="str">
        <f t="shared" si="11"/>
        <v>1010001_19000|1021005_680</v>
      </c>
      <c r="K297"/>
      <c r="M297" t="s">
        <v>35</v>
      </c>
    </row>
    <row r="298" spans="5:15">
      <c r="E298" s="2" t="s">
        <v>80</v>
      </c>
      <c r="F298"/>
      <c r="G298"/>
      <c r="H298" t="str">
        <f t="shared" si="11"/>
        <v>1010001_19500|1021005_700</v>
      </c>
      <c r="K298"/>
      <c r="M298" t="s">
        <v>35</v>
      </c>
    </row>
    <row r="299" spans="5:15">
      <c r="E299" s="2" t="s">
        <v>81</v>
      </c>
      <c r="F299"/>
      <c r="G299"/>
      <c r="H299" t="str">
        <f t="shared" si="11"/>
        <v>1010001_20000|1021005_720</v>
      </c>
      <c r="I299" s="2" t="s">
        <v>82</v>
      </c>
      <c r="K299"/>
      <c r="M299" t="s">
        <v>35</v>
      </c>
      <c r="O299" s="2" t="s">
        <v>83</v>
      </c>
    </row>
    <row r="300" spans="5:15">
      <c r="E300" s="2" t="s">
        <v>84</v>
      </c>
      <c r="F300"/>
      <c r="G300"/>
      <c r="H300" t="str">
        <f t="shared" si="11"/>
        <v>1010001_20500|1021005_740</v>
      </c>
      <c r="K300"/>
      <c r="M300" t="s">
        <v>35</v>
      </c>
    </row>
    <row r="301" spans="5:15">
      <c r="E301" s="2" t="s">
        <v>85</v>
      </c>
      <c r="F301"/>
      <c r="G301"/>
      <c r="H301" t="str">
        <f t="shared" si="11"/>
        <v>1010001_21000|1021005_760</v>
      </c>
      <c r="K301"/>
      <c r="M301" t="s">
        <v>35</v>
      </c>
    </row>
    <row r="302" spans="5:15">
      <c r="E302" s="2" t="s">
        <v>86</v>
      </c>
      <c r="F302"/>
      <c r="G302"/>
      <c r="H302" t="str">
        <f t="shared" si="11"/>
        <v>1010001_21500|1021005_780</v>
      </c>
      <c r="K302"/>
      <c r="M302" t="s">
        <v>35</v>
      </c>
    </row>
    <row r="303" spans="5:15">
      <c r="E303" s="2" t="s">
        <v>87</v>
      </c>
      <c r="F303"/>
      <c r="G303"/>
      <c r="H303" t="str">
        <f t="shared" si="11"/>
        <v>1010001_22000|1021005_800</v>
      </c>
      <c r="K303"/>
      <c r="M303" t="s">
        <v>35</v>
      </c>
    </row>
    <row r="304" spans="5:15">
      <c r="E304" s="2" t="s">
        <v>88</v>
      </c>
      <c r="F304"/>
      <c r="G304"/>
      <c r="H304" t="str">
        <f t="shared" si="11"/>
        <v>1010001_22500|1021005_820</v>
      </c>
      <c r="K304"/>
      <c r="M304" t="s">
        <v>35</v>
      </c>
      <c r="O304" s="2" t="s">
        <v>89</v>
      </c>
    </row>
    <row r="305" spans="1:15">
      <c r="E305" s="2" t="s">
        <v>90</v>
      </c>
      <c r="F305"/>
      <c r="G305"/>
      <c r="H305" t="str">
        <f t="shared" si="11"/>
        <v>1010001_23000|1021005_840</v>
      </c>
      <c r="K305"/>
      <c r="M305" t="s">
        <v>35</v>
      </c>
    </row>
    <row r="306" spans="1:15">
      <c r="E306" s="2" t="s">
        <v>91</v>
      </c>
      <c r="F306"/>
      <c r="G306"/>
      <c r="H306" t="str">
        <f t="shared" si="11"/>
        <v>1010001_23500|1021005_860</v>
      </c>
      <c r="K306"/>
      <c r="M306" t="s">
        <v>35</v>
      </c>
    </row>
    <row r="307" spans="1:15">
      <c r="E307" s="2" t="s">
        <v>92</v>
      </c>
      <c r="F307"/>
      <c r="G307"/>
      <c r="H307" t="str">
        <f t="shared" si="11"/>
        <v>1010001_24000|1021005_880</v>
      </c>
      <c r="K307"/>
      <c r="M307" t="s">
        <v>35</v>
      </c>
    </row>
    <row r="308" spans="1:15">
      <c r="E308" s="2" t="s">
        <v>93</v>
      </c>
      <c r="F308"/>
      <c r="G308"/>
      <c r="H308" t="str">
        <f t="shared" si="11"/>
        <v>1010001_24500|1021005_900</v>
      </c>
      <c r="K308"/>
      <c r="M308" t="s">
        <v>35</v>
      </c>
    </row>
    <row r="309" spans="1:15">
      <c r="E309" s="2" t="s">
        <v>94</v>
      </c>
      <c r="F309"/>
      <c r="G309"/>
      <c r="H309"/>
      <c r="K309"/>
      <c r="M309" t="s">
        <v>35</v>
      </c>
      <c r="O309" s="2" t="s">
        <v>95</v>
      </c>
    </row>
    <row r="310" spans="1:15">
      <c r="G310"/>
      <c r="K310"/>
      <c r="M310" s="7"/>
      <c r="N310"/>
    </row>
    <row r="311" s="1" customFormat="1" spans="1:15">
      <c r="A311" s="1" t="s">
        <v>146</v>
      </c>
      <c r="G311"/>
      <c r="K311"/>
      <c r="M311" s="4"/>
      <c r="N311" s="4"/>
    </row>
    <row r="312" spans="1:15">
      <c r="A312" s="2" t="s">
        <v>147</v>
      </c>
      <c r="B312" s="2" t="s">
        <v>148</v>
      </c>
      <c r="E312" s="2" t="s">
        <v>34</v>
      </c>
      <c r="G312"/>
      <c r="H312" s="8" t="s">
        <v>149</v>
      </c>
      <c r="I312"/>
      <c r="J312"/>
      <c r="K312"/>
      <c r="L312"/>
      <c r="N312"/>
    </row>
    <row r="313" spans="1:15">
      <c r="E313" s="2" t="s">
        <v>36</v>
      </c>
      <c r="G313"/>
      <c r="H313" s="8" t="s">
        <v>150</v>
      </c>
      <c r="I313"/>
      <c r="J313"/>
      <c r="K313"/>
      <c r="L313"/>
      <c r="N313"/>
    </row>
    <row r="314" spans="1:15">
      <c r="E314" s="2" t="s">
        <v>37</v>
      </c>
      <c r="G314"/>
      <c r="H314" s="8" t="s">
        <v>151</v>
      </c>
      <c r="I314"/>
      <c r="J314"/>
      <c r="K314"/>
      <c r="L314"/>
    </row>
    <row r="315" spans="1:15">
      <c r="E315" s="2" t="s">
        <v>38</v>
      </c>
      <c r="G315"/>
      <c r="H315" s="8" t="s">
        <v>152</v>
      </c>
      <c r="I315"/>
      <c r="J315"/>
      <c r="K315"/>
      <c r="L315"/>
      <c r="N315"/>
    </row>
    <row r="316" spans="1:15">
      <c r="E316" s="2" t="s">
        <v>39</v>
      </c>
      <c r="G316"/>
      <c r="H316" s="8" t="s">
        <v>153</v>
      </c>
      <c r="I316"/>
      <c r="J316"/>
      <c r="K316"/>
      <c r="L316"/>
    </row>
    <row r="317" spans="1:15">
      <c r="E317" s="2" t="s">
        <v>41</v>
      </c>
      <c r="G317"/>
      <c r="H317" s="8" t="s">
        <v>154</v>
      </c>
      <c r="I317"/>
      <c r="J317"/>
      <c r="K317"/>
      <c r="L317"/>
    </row>
    <row r="318" spans="1:15">
      <c r="E318" s="2" t="s">
        <v>42</v>
      </c>
      <c r="G318"/>
      <c r="H318" s="8" t="s">
        <v>155</v>
      </c>
      <c r="I318"/>
      <c r="J318"/>
      <c r="K318"/>
      <c r="L318"/>
    </row>
    <row r="319" spans="1:15">
      <c r="E319" s="2" t="s">
        <v>43</v>
      </c>
      <c r="G319"/>
      <c r="H319" s="8" t="s">
        <v>156</v>
      </c>
      <c r="I319"/>
      <c r="J319"/>
      <c r="K319"/>
      <c r="L319"/>
    </row>
    <row r="320" spans="1:15">
      <c r="E320" s="2" t="s">
        <v>44</v>
      </c>
      <c r="G320"/>
      <c r="H320" s="8" t="s">
        <v>157</v>
      </c>
      <c r="I320"/>
      <c r="J320"/>
      <c r="K320"/>
      <c r="L320"/>
      <c r="N320"/>
    </row>
    <row r="321" spans="5:14">
      <c r="E321" s="2" t="s">
        <v>45</v>
      </c>
      <c r="G321"/>
      <c r="H321" s="8" t="s">
        <v>158</v>
      </c>
      <c r="I321"/>
      <c r="J321"/>
      <c r="K321"/>
      <c r="L321"/>
      <c r="N321" s="2" t="s">
        <v>159</v>
      </c>
    </row>
    <row r="322" spans="5:14">
      <c r="E322" s="2" t="s">
        <v>47</v>
      </c>
      <c r="G322"/>
      <c r="H322" s="8" t="s">
        <v>160</v>
      </c>
      <c r="I322"/>
      <c r="J322"/>
      <c r="K322"/>
      <c r="L322"/>
    </row>
    <row r="323" spans="5:14">
      <c r="E323" s="2" t="s">
        <v>48</v>
      </c>
      <c r="G323"/>
      <c r="H323" s="8" t="s">
        <v>161</v>
      </c>
      <c r="I323"/>
      <c r="J323"/>
      <c r="K323"/>
      <c r="L323"/>
    </row>
    <row r="324" spans="5:14">
      <c r="E324" s="2" t="s">
        <v>49</v>
      </c>
      <c r="G324"/>
      <c r="H324" s="8" t="s">
        <v>162</v>
      </c>
      <c r="I324"/>
      <c r="J324"/>
      <c r="K324"/>
      <c r="L324"/>
    </row>
    <row r="325" spans="5:14">
      <c r="E325" s="2" t="s">
        <v>50</v>
      </c>
      <c r="G325"/>
      <c r="H325" s="8" t="s">
        <v>163</v>
      </c>
      <c r="I325"/>
      <c r="J325"/>
      <c r="K325"/>
      <c r="L325"/>
    </row>
    <row r="326" spans="5:14">
      <c r="E326" s="2" t="s">
        <v>51</v>
      </c>
      <c r="G326"/>
      <c r="H326" s="8" t="s">
        <v>164</v>
      </c>
      <c r="I326"/>
      <c r="J326"/>
      <c r="K326"/>
      <c r="L326"/>
    </row>
    <row r="327" spans="5:14">
      <c r="E327" s="2" t="s">
        <v>53</v>
      </c>
      <c r="G327"/>
      <c r="H327" s="8" t="s">
        <v>165</v>
      </c>
      <c r="I327"/>
      <c r="J327"/>
      <c r="K327"/>
      <c r="L327"/>
    </row>
    <row r="328" spans="5:14">
      <c r="E328" s="2" t="s">
        <v>54</v>
      </c>
      <c r="G328"/>
      <c r="H328" s="8" t="s">
        <v>166</v>
      </c>
      <c r="I328"/>
      <c r="J328"/>
      <c r="K328"/>
      <c r="L328"/>
      <c r="N328"/>
    </row>
    <row r="329" spans="5:14">
      <c r="E329" s="2" t="s">
        <v>55</v>
      </c>
      <c r="G329"/>
      <c r="H329" s="8" t="s">
        <v>167</v>
      </c>
      <c r="I329"/>
      <c r="J329"/>
      <c r="K329"/>
      <c r="L329"/>
    </row>
    <row r="330" spans="5:14">
      <c r="E330" s="2" t="s">
        <v>56</v>
      </c>
      <c r="G330"/>
      <c r="H330" s="8" t="s">
        <v>168</v>
      </c>
      <c r="I330"/>
      <c r="J330"/>
      <c r="K330"/>
      <c r="L330"/>
    </row>
    <row r="331" spans="5:14">
      <c r="E331" s="2" t="s">
        <v>57</v>
      </c>
      <c r="G331"/>
      <c r="H331" s="8" t="s">
        <v>169</v>
      </c>
      <c r="I331"/>
      <c r="J331"/>
      <c r="K331"/>
      <c r="L331"/>
      <c r="N331" s="2" t="s">
        <v>170</v>
      </c>
    </row>
    <row r="332" spans="5:14">
      <c r="E332" s="2" t="s">
        <v>59</v>
      </c>
      <c r="G332"/>
      <c r="H332" s="8" t="s">
        <v>171</v>
      </c>
      <c r="I332"/>
      <c r="J332"/>
      <c r="K332"/>
      <c r="L332"/>
    </row>
    <row r="333" spans="5:14">
      <c r="E333" s="2" t="s">
        <v>60</v>
      </c>
      <c r="G333"/>
      <c r="H333" s="8" t="s">
        <v>172</v>
      </c>
      <c r="I333"/>
      <c r="J333"/>
      <c r="K333"/>
      <c r="L333"/>
    </row>
    <row r="334" spans="5:14">
      <c r="E334" s="2" t="s">
        <v>61</v>
      </c>
      <c r="G334"/>
      <c r="H334" s="8" t="s">
        <v>173</v>
      </c>
      <c r="I334"/>
      <c r="J334"/>
      <c r="K334"/>
      <c r="L334"/>
    </row>
    <row r="335" spans="5:14">
      <c r="E335" s="2" t="s">
        <v>62</v>
      </c>
      <c r="G335"/>
      <c r="H335" s="8" t="s">
        <v>174</v>
      </c>
      <c r="I335"/>
      <c r="J335"/>
      <c r="K335"/>
      <c r="L335"/>
    </row>
    <row r="336" spans="5:14">
      <c r="E336" s="2" t="s">
        <v>63</v>
      </c>
      <c r="G336"/>
      <c r="H336" s="8" t="s">
        <v>175</v>
      </c>
      <c r="I336"/>
      <c r="J336"/>
      <c r="K336"/>
      <c r="L336"/>
      <c r="N336"/>
    </row>
    <row r="337" customFormat="1" spans="1:14">
      <c r="A337" s="2"/>
      <c r="B337" s="2"/>
      <c r="C337" s="2"/>
      <c r="D337" s="2"/>
      <c r="E337" s="2" t="s">
        <v>65</v>
      </c>
      <c r="F337" s="2"/>
      <c r="G337"/>
      <c r="H337" s="8" t="s">
        <v>176</v>
      </c>
      <c r="I337" s="2"/>
      <c r="J337" s="2"/>
    </row>
    <row r="338" customFormat="1" spans="1:14">
      <c r="A338" s="2"/>
      <c r="B338" s="2"/>
      <c r="C338" s="2"/>
      <c r="D338" s="2"/>
      <c r="E338" s="2" t="s">
        <v>66</v>
      </c>
      <c r="F338" s="2"/>
      <c r="G338"/>
      <c r="H338" s="8" t="s">
        <v>177</v>
      </c>
      <c r="I338" s="2"/>
      <c r="J338" s="2"/>
    </row>
    <row r="339" customFormat="1" spans="1:14">
      <c r="A339" s="2"/>
      <c r="B339" s="2"/>
      <c r="C339" s="2"/>
      <c r="D339" s="2"/>
      <c r="E339" s="2" t="s">
        <v>67</v>
      </c>
      <c r="F339" s="2"/>
      <c r="G339"/>
      <c r="H339" s="8" t="s">
        <v>178</v>
      </c>
      <c r="I339" s="2"/>
      <c r="J339" s="2"/>
      <c r="K339"/>
      <c r="L339"/>
      <c r="M339" s="7"/>
    </row>
    <row r="340" customFormat="1" spans="1:14">
      <c r="A340" s="2"/>
      <c r="B340" s="2"/>
      <c r="C340" s="2"/>
      <c r="D340" s="2"/>
      <c r="E340" s="2" t="s">
        <v>68</v>
      </c>
      <c r="F340" s="2"/>
      <c r="G340"/>
      <c r="H340" s="8" t="s">
        <v>179</v>
      </c>
      <c r="I340" s="2"/>
      <c r="J340" s="2"/>
      <c r="K340"/>
      <c r="L340"/>
      <c r="M340" s="7"/>
    </row>
    <row r="341" customFormat="1" spans="1:14">
      <c r="A341" s="2"/>
      <c r="B341" s="2"/>
      <c r="C341" s="2"/>
      <c r="D341" s="2"/>
      <c r="E341" s="2" t="s">
        <v>69</v>
      </c>
      <c r="F341" s="2"/>
      <c r="G341"/>
      <c r="H341" s="8" t="s">
        <v>180</v>
      </c>
      <c r="I341" s="2"/>
      <c r="J341" s="2"/>
      <c r="K341"/>
      <c r="L341"/>
      <c r="M341" s="7"/>
      <c r="N341" t="s">
        <v>159</v>
      </c>
    </row>
    <row r="342" customFormat="1" spans="1:14">
      <c r="A342" s="2"/>
      <c r="B342" s="2"/>
      <c r="C342" s="2"/>
      <c r="D342" s="2"/>
      <c r="E342" s="2" t="s">
        <v>71</v>
      </c>
      <c r="F342" s="2"/>
      <c r="G342"/>
      <c r="H342" s="8" t="s">
        <v>181</v>
      </c>
      <c r="I342" s="2"/>
      <c r="J342" s="2"/>
      <c r="K342"/>
      <c r="L342"/>
      <c r="M342" s="7"/>
    </row>
    <row r="343" customFormat="1" spans="1:14">
      <c r="A343" s="2"/>
      <c r="B343" s="2"/>
      <c r="C343" s="2"/>
      <c r="D343" s="2"/>
      <c r="E343" s="2" t="s">
        <v>72</v>
      </c>
      <c r="F343" s="2"/>
      <c r="G343"/>
      <c r="H343" s="8" t="s">
        <v>182</v>
      </c>
      <c r="I343" s="2"/>
      <c r="J343" s="2"/>
      <c r="K343" s="2"/>
      <c r="L343"/>
      <c r="M343" s="7"/>
    </row>
    <row r="344" customFormat="1" spans="1:14">
      <c r="A344" s="2"/>
      <c r="B344" s="2"/>
      <c r="C344" s="2"/>
      <c r="D344" s="2"/>
      <c r="E344" s="2" t="s">
        <v>73</v>
      </c>
      <c r="F344" s="2"/>
      <c r="G344"/>
      <c r="H344" s="8" t="s">
        <v>183</v>
      </c>
      <c r="I344" s="2"/>
      <c r="J344" s="2"/>
      <c r="K344" s="2"/>
      <c r="L344"/>
      <c r="M344" s="7"/>
    </row>
    <row r="345" customFormat="1" spans="1:14">
      <c r="A345" s="2"/>
      <c r="B345" s="2"/>
      <c r="C345" s="2"/>
      <c r="D345" s="2"/>
      <c r="E345" s="2" t="s">
        <v>74</v>
      </c>
      <c r="F345" s="2"/>
      <c r="G345"/>
      <c r="H345" s="8" t="s">
        <v>184</v>
      </c>
      <c r="I345" s="2"/>
      <c r="J345" s="2"/>
      <c r="K345" s="2"/>
      <c r="L345"/>
      <c r="M345" s="7"/>
    </row>
    <row r="346" customFormat="1" spans="1:14">
      <c r="A346" s="2"/>
      <c r="B346" s="2"/>
      <c r="C346" s="2"/>
      <c r="D346" s="2"/>
      <c r="E346" s="2" t="s">
        <v>75</v>
      </c>
      <c r="F346" s="2"/>
      <c r="G346"/>
      <c r="H346" s="8" t="s">
        <v>185</v>
      </c>
      <c r="I346" s="2"/>
      <c r="J346" s="2"/>
      <c r="K346" s="2"/>
      <c r="L346"/>
      <c r="M346" s="7"/>
    </row>
    <row r="347" customFormat="1" spans="1:14">
      <c r="A347" s="2"/>
      <c r="B347" s="2"/>
      <c r="C347" s="2"/>
      <c r="D347" s="2"/>
      <c r="E347" s="2" t="s">
        <v>77</v>
      </c>
      <c r="F347" s="2"/>
      <c r="G347"/>
      <c r="H347" s="8" t="s">
        <v>186</v>
      </c>
      <c r="I347" s="2"/>
      <c r="J347" s="2"/>
      <c r="K347" s="2"/>
      <c r="L347"/>
      <c r="M347" s="7"/>
    </row>
    <row r="348" customFormat="1" spans="1:14">
      <c r="A348" s="2"/>
      <c r="B348" s="2"/>
      <c r="C348" s="2"/>
      <c r="D348" s="2"/>
      <c r="E348" s="2" t="s">
        <v>78</v>
      </c>
      <c r="F348" s="2"/>
      <c r="G348"/>
      <c r="H348" s="8" t="s">
        <v>187</v>
      </c>
      <c r="I348" s="2"/>
      <c r="J348" s="2"/>
      <c r="K348" s="2"/>
      <c r="L348"/>
      <c r="M348" s="7"/>
    </row>
    <row r="349" customFormat="1" spans="1:14">
      <c r="A349" s="2"/>
      <c r="B349" s="2"/>
      <c r="C349" s="2"/>
      <c r="D349" s="2"/>
      <c r="E349" s="2" t="s">
        <v>79</v>
      </c>
      <c r="F349" s="2"/>
      <c r="G349"/>
      <c r="H349" s="8" t="s">
        <v>188</v>
      </c>
      <c r="I349" s="2"/>
      <c r="J349" s="2"/>
      <c r="K349" s="2"/>
      <c r="L349"/>
      <c r="M349" s="7"/>
    </row>
    <row r="350" customFormat="1" spans="1:14">
      <c r="A350" s="2"/>
      <c r="B350" s="2"/>
      <c r="C350" s="2"/>
      <c r="D350" s="2"/>
      <c r="E350" s="2" t="s">
        <v>80</v>
      </c>
      <c r="F350" s="2"/>
      <c r="G350"/>
      <c r="H350" s="8" t="s">
        <v>189</v>
      </c>
      <c r="I350" s="2"/>
      <c r="J350" s="2"/>
      <c r="K350" s="2"/>
      <c r="L350"/>
      <c r="M350" s="7"/>
    </row>
    <row r="351" customFormat="1" spans="1:14">
      <c r="A351" s="2"/>
      <c r="B351" s="2"/>
      <c r="C351" s="2"/>
      <c r="D351" s="2"/>
      <c r="E351" s="2" t="s">
        <v>81</v>
      </c>
      <c r="F351" s="2"/>
      <c r="G351"/>
      <c r="H351" s="8" t="s">
        <v>190</v>
      </c>
      <c r="I351" s="2"/>
      <c r="J351" s="2"/>
      <c r="K351" s="2"/>
      <c r="L351"/>
      <c r="M351" s="7"/>
      <c r="N351" t="s">
        <v>191</v>
      </c>
    </row>
    <row r="352" customFormat="1" spans="1:14">
      <c r="A352" s="2"/>
      <c r="B352" s="2"/>
      <c r="C352" s="2"/>
      <c r="D352" s="2"/>
      <c r="E352" s="2" t="s">
        <v>84</v>
      </c>
      <c r="F352" s="2"/>
      <c r="H352" s="8" t="s">
        <v>192</v>
      </c>
      <c r="I352" s="2"/>
      <c r="J352" s="2"/>
      <c r="K352" s="2"/>
      <c r="M352" s="7"/>
    </row>
    <row r="353" customFormat="1" spans="1:14">
      <c r="A353" s="2"/>
      <c r="B353" s="2"/>
      <c r="C353" s="2"/>
      <c r="D353" s="2"/>
      <c r="E353" s="2" t="s">
        <v>85</v>
      </c>
      <c r="F353" s="2"/>
      <c r="H353" s="8" t="s">
        <v>193</v>
      </c>
      <c r="I353" s="2"/>
      <c r="J353" s="2"/>
      <c r="K353" s="2"/>
      <c r="M353" s="7"/>
    </row>
    <row r="354" customFormat="1" spans="1:14">
      <c r="A354" s="2"/>
      <c r="B354" s="2"/>
      <c r="C354" s="2"/>
      <c r="D354" s="2"/>
      <c r="E354" s="2" t="s">
        <v>86</v>
      </c>
      <c r="F354" s="2"/>
      <c r="H354" s="8" t="s">
        <v>194</v>
      </c>
      <c r="I354" s="2"/>
      <c r="J354" s="2"/>
      <c r="K354" s="2"/>
      <c r="M354" s="7"/>
    </row>
    <row r="355" customFormat="1" spans="1:14">
      <c r="A355" s="2"/>
      <c r="B355" s="2"/>
      <c r="C355" s="2"/>
      <c r="D355" s="2"/>
      <c r="E355" s="2" t="s">
        <v>87</v>
      </c>
      <c r="F355" s="2"/>
      <c r="H355" s="8" t="s">
        <v>195</v>
      </c>
      <c r="I355" s="2"/>
      <c r="J355" s="2"/>
      <c r="K355" s="2"/>
      <c r="M355" s="7"/>
    </row>
    <row r="356" customFormat="1" spans="1:14">
      <c r="A356" s="2"/>
      <c r="B356" s="2"/>
      <c r="C356" s="2"/>
      <c r="D356" s="2"/>
      <c r="E356" s="2" t="s">
        <v>88</v>
      </c>
      <c r="F356" s="2"/>
      <c r="H356" s="8" t="s">
        <v>196</v>
      </c>
      <c r="I356" s="2"/>
      <c r="J356" s="2"/>
      <c r="K356" s="2"/>
      <c r="M356" s="7"/>
    </row>
    <row r="357" customFormat="1" spans="1:14">
      <c r="A357" s="2"/>
      <c r="B357" s="2"/>
      <c r="C357" s="2"/>
      <c r="D357" s="2"/>
      <c r="E357" s="2" t="s">
        <v>90</v>
      </c>
      <c r="F357" s="2"/>
      <c r="H357" s="8" t="s">
        <v>197</v>
      </c>
      <c r="I357" s="2"/>
      <c r="J357" s="2"/>
      <c r="K357" s="2"/>
      <c r="M357" s="7"/>
    </row>
    <row r="358" customFormat="1" spans="1:14">
      <c r="A358" s="2"/>
      <c r="B358" s="2"/>
      <c r="C358" s="2"/>
      <c r="D358" s="2"/>
      <c r="E358" s="2" t="s">
        <v>91</v>
      </c>
      <c r="F358" s="2"/>
      <c r="H358" s="8" t="s">
        <v>198</v>
      </c>
      <c r="I358" s="2"/>
      <c r="J358" s="2"/>
      <c r="K358" s="2"/>
      <c r="M358" s="7"/>
    </row>
    <row r="359" customFormat="1" spans="1:14">
      <c r="A359" s="2"/>
      <c r="B359" s="2"/>
      <c r="C359" s="2"/>
      <c r="D359" s="2"/>
      <c r="E359" s="2" t="s">
        <v>92</v>
      </c>
      <c r="F359" s="2"/>
      <c r="H359" s="8" t="s">
        <v>199</v>
      </c>
      <c r="I359" s="2"/>
      <c r="J359" s="2"/>
      <c r="K359" s="2"/>
      <c r="M359" s="7"/>
    </row>
    <row r="360" customFormat="1" spans="1:14">
      <c r="A360" s="2"/>
      <c r="B360" s="2"/>
      <c r="C360" s="2"/>
      <c r="D360" s="2"/>
      <c r="E360" s="2" t="s">
        <v>93</v>
      </c>
      <c r="F360" s="2"/>
      <c r="H360" s="8" t="s">
        <v>200</v>
      </c>
      <c r="I360" s="2"/>
      <c r="J360" s="2"/>
      <c r="K360" s="2"/>
      <c r="M360" s="7"/>
    </row>
    <row r="361" customFormat="1" spans="1:14">
      <c r="A361" s="2"/>
      <c r="B361" s="2"/>
      <c r="C361" s="2"/>
      <c r="D361" s="2"/>
      <c r="E361" s="2" t="s">
        <v>94</v>
      </c>
      <c r="F361" s="2"/>
      <c r="H361" s="2"/>
      <c r="I361" s="2"/>
      <c r="J361" s="2"/>
      <c r="K361" s="2"/>
      <c r="M361" s="7"/>
    </row>
    <row r="362" customFormat="1" spans="1:14">
      <c r="A362" s="2"/>
      <c r="B362" s="2"/>
      <c r="C362" s="2"/>
      <c r="D362" s="2"/>
      <c r="E362" s="2"/>
      <c r="F362" s="2"/>
      <c r="G362"/>
      <c r="H362" s="2"/>
      <c r="I362" s="2"/>
      <c r="J362" s="2"/>
      <c r="K362" s="2"/>
      <c r="L362"/>
      <c r="M362" s="7"/>
    </row>
    <row r="363" spans="1:14">
      <c r="A363" s="2" t="s">
        <v>201</v>
      </c>
      <c r="B363" s="2" t="s">
        <v>202</v>
      </c>
      <c r="E363" s="2" t="s">
        <v>34</v>
      </c>
      <c r="G363"/>
      <c r="H363" s="8" t="s">
        <v>149</v>
      </c>
      <c r="I363"/>
      <c r="J363"/>
      <c r="L363"/>
      <c r="N363"/>
    </row>
    <row r="364" spans="1:14">
      <c r="E364" s="2" t="s">
        <v>36</v>
      </c>
      <c r="G364"/>
      <c r="H364" s="8" t="s">
        <v>150</v>
      </c>
      <c r="I364"/>
      <c r="J364"/>
      <c r="L364"/>
    </row>
    <row r="365" spans="1:14">
      <c r="E365" s="2" t="s">
        <v>37</v>
      </c>
      <c r="G365"/>
      <c r="H365" s="8" t="s">
        <v>151</v>
      </c>
      <c r="I365"/>
      <c r="J365"/>
      <c r="L365"/>
    </row>
    <row r="366" spans="1:14">
      <c r="E366" s="2" t="s">
        <v>38</v>
      </c>
      <c r="G366"/>
      <c r="H366" s="8" t="s">
        <v>152</v>
      </c>
      <c r="I366"/>
      <c r="J366"/>
      <c r="L366"/>
      <c r="N366"/>
    </row>
    <row r="367" spans="1:14">
      <c r="E367" s="2" t="s">
        <v>39</v>
      </c>
      <c r="G367"/>
      <c r="H367" s="8" t="s">
        <v>153</v>
      </c>
      <c r="I367"/>
      <c r="J367"/>
      <c r="L367"/>
    </row>
    <row r="368" spans="1:14">
      <c r="E368" s="2" t="s">
        <v>41</v>
      </c>
      <c r="G368"/>
      <c r="H368" s="8" t="s">
        <v>154</v>
      </c>
      <c r="I368"/>
      <c r="J368"/>
      <c r="L368"/>
    </row>
    <row r="369" spans="5:14">
      <c r="E369" s="2" t="s">
        <v>42</v>
      </c>
      <c r="G369"/>
      <c r="H369" s="8" t="s">
        <v>155</v>
      </c>
      <c r="I369"/>
      <c r="J369"/>
      <c r="L369"/>
    </row>
    <row r="370" spans="5:14">
      <c r="E370" s="2" t="s">
        <v>43</v>
      </c>
      <c r="G370"/>
      <c r="H370" s="8" t="s">
        <v>156</v>
      </c>
      <c r="I370"/>
      <c r="J370"/>
      <c r="L370"/>
    </row>
    <row r="371" spans="5:14">
      <c r="E371" s="2" t="s">
        <v>44</v>
      </c>
      <c r="G371"/>
      <c r="H371" s="8" t="s">
        <v>157</v>
      </c>
      <c r="I371"/>
      <c r="J371"/>
      <c r="L371"/>
      <c r="N371"/>
    </row>
    <row r="372" spans="5:14">
      <c r="E372" s="2" t="s">
        <v>45</v>
      </c>
      <c r="G372"/>
      <c r="H372" s="8" t="s">
        <v>158</v>
      </c>
      <c r="I372"/>
      <c r="J372"/>
      <c r="L372"/>
      <c r="N372" s="2" t="s">
        <v>203</v>
      </c>
    </row>
    <row r="373" spans="5:14">
      <c r="E373" s="2" t="s">
        <v>47</v>
      </c>
      <c r="G373"/>
      <c r="H373" s="8" t="s">
        <v>160</v>
      </c>
      <c r="I373"/>
      <c r="J373"/>
      <c r="L373"/>
      <c r="N373" s="7"/>
    </row>
    <row r="374" spans="5:14">
      <c r="E374" s="2" t="s">
        <v>48</v>
      </c>
      <c r="G374"/>
      <c r="H374" s="8" t="s">
        <v>161</v>
      </c>
      <c r="I374"/>
      <c r="J374"/>
      <c r="L374"/>
    </row>
    <row r="375" spans="5:14">
      <c r="E375" s="2" t="s">
        <v>49</v>
      </c>
      <c r="G375"/>
      <c r="H375" s="8" t="s">
        <v>162</v>
      </c>
      <c r="I375"/>
      <c r="J375"/>
      <c r="L375"/>
    </row>
    <row r="376" spans="5:14">
      <c r="E376" s="2" t="s">
        <v>50</v>
      </c>
      <c r="G376"/>
      <c r="H376" s="8" t="s">
        <v>163</v>
      </c>
      <c r="I376"/>
      <c r="J376"/>
      <c r="L376"/>
    </row>
    <row r="377" spans="5:14">
      <c r="E377" s="2" t="s">
        <v>51</v>
      </c>
      <c r="G377"/>
      <c r="H377" s="8" t="s">
        <v>164</v>
      </c>
      <c r="I377"/>
      <c r="J377"/>
      <c r="L377"/>
    </row>
    <row r="378" spans="5:14">
      <c r="E378" s="2" t="s">
        <v>53</v>
      </c>
      <c r="G378"/>
      <c r="H378" s="8" t="s">
        <v>165</v>
      </c>
      <c r="I378"/>
      <c r="J378"/>
      <c r="L378"/>
      <c r="N378"/>
    </row>
    <row r="379" spans="5:14">
      <c r="E379" s="2" t="s">
        <v>54</v>
      </c>
      <c r="G379"/>
      <c r="H379" s="8" t="s">
        <v>166</v>
      </c>
      <c r="I379"/>
      <c r="J379"/>
      <c r="L379"/>
    </row>
    <row r="380" spans="5:14">
      <c r="E380" s="2" t="s">
        <v>55</v>
      </c>
      <c r="G380"/>
      <c r="H380" s="8" t="s">
        <v>167</v>
      </c>
      <c r="I380"/>
      <c r="J380"/>
      <c r="L380"/>
    </row>
    <row r="381" spans="5:14">
      <c r="E381" s="2" t="s">
        <v>56</v>
      </c>
      <c r="G381"/>
      <c r="H381" s="8" t="s">
        <v>168</v>
      </c>
      <c r="I381"/>
      <c r="J381"/>
      <c r="L381"/>
    </row>
    <row r="382" spans="5:14">
      <c r="E382" s="2" t="s">
        <v>57</v>
      </c>
      <c r="G382"/>
      <c r="H382" s="8" t="s">
        <v>169</v>
      </c>
      <c r="I382"/>
      <c r="J382"/>
      <c r="L382"/>
      <c r="N382" s="2" t="s">
        <v>204</v>
      </c>
    </row>
    <row r="383" spans="5:14">
      <c r="E383" s="2" t="s">
        <v>59</v>
      </c>
      <c r="G383"/>
      <c r="H383" s="8" t="s">
        <v>171</v>
      </c>
      <c r="I383"/>
      <c r="J383"/>
      <c r="L383"/>
      <c r="N383" s="7"/>
    </row>
    <row r="384" spans="5:14">
      <c r="E384" s="2" t="s">
        <v>60</v>
      </c>
      <c r="G384"/>
      <c r="H384" s="8" t="s">
        <v>172</v>
      </c>
      <c r="I384"/>
      <c r="J384"/>
      <c r="L384"/>
    </row>
    <row r="385" spans="1:14">
      <c r="E385" s="2" t="s">
        <v>61</v>
      </c>
      <c r="G385"/>
      <c r="H385" s="8" t="s">
        <v>173</v>
      </c>
      <c r="I385"/>
      <c r="J385"/>
      <c r="L385"/>
    </row>
    <row r="386" spans="1:14">
      <c r="E386" s="2" t="s">
        <v>62</v>
      </c>
      <c r="G386"/>
      <c r="H386" s="8" t="s">
        <v>174</v>
      </c>
      <c r="I386"/>
      <c r="J386"/>
      <c r="L386"/>
    </row>
    <row r="387" spans="1:14">
      <c r="E387" s="2" t="s">
        <v>63</v>
      </c>
      <c r="G387"/>
      <c r="H387" s="8" t="s">
        <v>175</v>
      </c>
      <c r="I387"/>
      <c r="J387"/>
      <c r="L387"/>
      <c r="N387"/>
    </row>
    <row r="388" customFormat="1" spans="1:14">
      <c r="A388" s="2"/>
      <c r="B388" s="2"/>
      <c r="C388" s="2"/>
      <c r="D388" s="2"/>
      <c r="E388" s="2" t="s">
        <v>65</v>
      </c>
      <c r="F388" s="2"/>
      <c r="G388"/>
      <c r="H388" s="8" t="s">
        <v>176</v>
      </c>
      <c r="I388" s="2"/>
      <c r="J388" s="2"/>
      <c r="K388" s="2"/>
    </row>
    <row r="389" customFormat="1" spans="1:14">
      <c r="A389" s="2"/>
      <c r="B389" s="2"/>
      <c r="C389" s="2"/>
      <c r="D389" s="2"/>
      <c r="E389" s="2" t="s">
        <v>66</v>
      </c>
      <c r="F389" s="2"/>
      <c r="G389"/>
      <c r="H389" s="8" t="s">
        <v>177</v>
      </c>
      <c r="I389" s="2"/>
      <c r="J389" s="2"/>
      <c r="K389" s="2"/>
      <c r="L389"/>
      <c r="M389" s="7"/>
    </row>
    <row r="390" customFormat="1" spans="1:14">
      <c r="A390" s="2"/>
      <c r="B390" s="2"/>
      <c r="C390" s="2"/>
      <c r="D390" s="2"/>
      <c r="E390" s="2" t="s">
        <v>67</v>
      </c>
      <c r="F390" s="2"/>
      <c r="G390"/>
      <c r="H390" s="8" t="s">
        <v>178</v>
      </c>
      <c r="I390" s="2"/>
      <c r="J390" s="2"/>
      <c r="K390" s="2"/>
      <c r="L390"/>
      <c r="M390" s="7"/>
    </row>
    <row r="391" customFormat="1" spans="1:14">
      <c r="A391" s="2"/>
      <c r="B391" s="2"/>
      <c r="C391" s="2"/>
      <c r="D391" s="2"/>
      <c r="E391" s="2" t="s">
        <v>68</v>
      </c>
      <c r="F391" s="2"/>
      <c r="G391"/>
      <c r="H391" s="8" t="s">
        <v>179</v>
      </c>
      <c r="I391" s="2"/>
      <c r="J391" s="2"/>
      <c r="K391" s="2"/>
      <c r="L391"/>
      <c r="M391" s="7"/>
    </row>
    <row r="392" customFormat="1" spans="1:14">
      <c r="A392" s="2"/>
      <c r="B392" s="2"/>
      <c r="C392" s="2"/>
      <c r="D392" s="2"/>
      <c r="E392" s="2" t="s">
        <v>69</v>
      </c>
      <c r="F392" s="2"/>
      <c r="G392"/>
      <c r="H392" s="8" t="s">
        <v>180</v>
      </c>
      <c r="I392" s="2"/>
      <c r="J392" s="2"/>
      <c r="K392" s="2"/>
      <c r="L392"/>
      <c r="M392" s="7"/>
      <c r="N392" t="s">
        <v>205</v>
      </c>
    </row>
    <row r="393" customFormat="1" spans="1:14">
      <c r="A393" s="2"/>
      <c r="B393" s="2"/>
      <c r="C393" s="2"/>
      <c r="D393" s="2"/>
      <c r="E393" s="2" t="s">
        <v>71</v>
      </c>
      <c r="F393" s="2"/>
      <c r="G393"/>
      <c r="H393" s="8" t="s">
        <v>181</v>
      </c>
      <c r="I393" s="2"/>
      <c r="J393" s="2"/>
      <c r="K393" s="2"/>
      <c r="L393"/>
      <c r="M393" s="7"/>
    </row>
    <row r="394" customFormat="1" spans="1:14">
      <c r="A394" s="2"/>
      <c r="B394" s="2"/>
      <c r="C394" s="2"/>
      <c r="D394" s="2"/>
      <c r="E394" s="2" t="s">
        <v>72</v>
      </c>
      <c r="F394" s="2"/>
      <c r="G394"/>
      <c r="H394" s="8" t="s">
        <v>182</v>
      </c>
      <c r="I394" s="2"/>
      <c r="J394" s="2"/>
      <c r="K394" s="2"/>
      <c r="L394"/>
      <c r="M394" s="7"/>
    </row>
    <row r="395" customFormat="1" spans="1:14">
      <c r="A395" s="2"/>
      <c r="B395" s="2"/>
      <c r="C395" s="2"/>
      <c r="D395" s="2"/>
      <c r="E395" s="2" t="s">
        <v>73</v>
      </c>
      <c r="F395" s="2"/>
      <c r="G395"/>
      <c r="H395" s="8" t="s">
        <v>183</v>
      </c>
      <c r="I395" s="2"/>
      <c r="J395" s="2"/>
      <c r="K395" s="2"/>
      <c r="L395"/>
      <c r="M395" s="7"/>
    </row>
    <row r="396" customFormat="1" spans="1:14">
      <c r="A396" s="2"/>
      <c r="B396" s="2"/>
      <c r="C396" s="2"/>
      <c r="D396" s="2"/>
      <c r="E396" s="2" t="s">
        <v>74</v>
      </c>
      <c r="F396" s="2"/>
      <c r="G396"/>
      <c r="H396" s="8" t="s">
        <v>184</v>
      </c>
      <c r="I396" s="2"/>
      <c r="J396" s="2"/>
      <c r="K396" s="2"/>
      <c r="L396"/>
      <c r="M396" s="7"/>
    </row>
    <row r="397" customFormat="1" spans="1:14">
      <c r="A397" s="2"/>
      <c r="B397" s="2"/>
      <c r="C397" s="2"/>
      <c r="D397" s="2"/>
      <c r="E397" s="2" t="s">
        <v>75</v>
      </c>
      <c r="F397" s="2"/>
      <c r="G397"/>
      <c r="H397" s="8" t="s">
        <v>185</v>
      </c>
      <c r="I397" s="2"/>
      <c r="J397" s="2"/>
      <c r="K397" s="2"/>
      <c r="L397"/>
      <c r="M397" s="7"/>
    </row>
    <row r="398" customFormat="1" spans="1:14">
      <c r="A398" s="2"/>
      <c r="B398" s="2"/>
      <c r="C398" s="2"/>
      <c r="D398" s="2"/>
      <c r="E398" s="2" t="s">
        <v>77</v>
      </c>
      <c r="F398" s="2"/>
      <c r="G398"/>
      <c r="H398" s="8" t="s">
        <v>186</v>
      </c>
      <c r="I398" s="2"/>
      <c r="J398" s="2"/>
      <c r="K398" s="2"/>
      <c r="L398"/>
      <c r="M398" s="7"/>
    </row>
    <row r="399" customFormat="1" spans="1:14">
      <c r="A399" s="2"/>
      <c r="B399" s="2"/>
      <c r="C399" s="2"/>
      <c r="D399" s="2"/>
      <c r="E399" s="2" t="s">
        <v>78</v>
      </c>
      <c r="F399" s="2"/>
      <c r="G399"/>
      <c r="H399" s="8" t="s">
        <v>187</v>
      </c>
      <c r="I399" s="2"/>
      <c r="J399" s="2"/>
      <c r="K399" s="2"/>
      <c r="L399"/>
      <c r="M399" s="7"/>
    </row>
    <row r="400" customFormat="1" spans="1:14">
      <c r="A400" s="2"/>
      <c r="B400" s="2"/>
      <c r="C400" s="2"/>
      <c r="D400" s="2"/>
      <c r="E400" s="2" t="s">
        <v>79</v>
      </c>
      <c r="F400" s="2"/>
      <c r="G400"/>
      <c r="H400" s="8" t="s">
        <v>188</v>
      </c>
      <c r="I400" s="2"/>
      <c r="J400" s="2"/>
      <c r="K400" s="2"/>
      <c r="L400"/>
      <c r="M400" s="7"/>
    </row>
    <row r="401" customFormat="1" spans="1:14">
      <c r="A401" s="2"/>
      <c r="B401" s="2"/>
      <c r="C401" s="2"/>
      <c r="D401" s="2"/>
      <c r="E401" s="2" t="s">
        <v>80</v>
      </c>
      <c r="F401" s="2"/>
      <c r="G401"/>
      <c r="H401" s="8" t="s">
        <v>189</v>
      </c>
      <c r="I401" s="2"/>
      <c r="J401" s="2"/>
      <c r="K401" s="2"/>
      <c r="L401"/>
      <c r="M401" s="7"/>
    </row>
    <row r="402" customFormat="1" spans="1:14">
      <c r="A402" s="2"/>
      <c r="B402" s="2"/>
      <c r="C402" s="2"/>
      <c r="D402" s="2"/>
      <c r="E402" s="2" t="s">
        <v>81</v>
      </c>
      <c r="F402" s="2"/>
      <c r="G402"/>
      <c r="H402" s="8" t="s">
        <v>190</v>
      </c>
      <c r="I402" s="2"/>
      <c r="J402" s="2"/>
      <c r="K402" s="2"/>
      <c r="L402"/>
      <c r="M402" s="7"/>
      <c r="N402" t="s">
        <v>206</v>
      </c>
    </row>
    <row r="403" customFormat="1" spans="1:14">
      <c r="A403" s="2"/>
      <c r="B403" s="2"/>
      <c r="C403" s="2"/>
      <c r="D403" s="2"/>
      <c r="E403" s="2" t="s">
        <v>84</v>
      </c>
      <c r="F403" s="2"/>
      <c r="H403" s="8" t="s">
        <v>192</v>
      </c>
      <c r="I403" s="2"/>
      <c r="J403" s="2"/>
      <c r="K403" s="2"/>
      <c r="M403" s="7"/>
    </row>
    <row r="404" customFormat="1" spans="1:14">
      <c r="A404" s="2"/>
      <c r="B404" s="2"/>
      <c r="C404" s="2"/>
      <c r="D404" s="2"/>
      <c r="E404" s="2" t="s">
        <v>85</v>
      </c>
      <c r="F404" s="2"/>
      <c r="H404" s="8" t="s">
        <v>193</v>
      </c>
      <c r="I404" s="2"/>
      <c r="J404" s="2"/>
      <c r="K404" s="2"/>
      <c r="M404" s="7"/>
    </row>
    <row r="405" customFormat="1" spans="1:14">
      <c r="A405" s="2"/>
      <c r="B405" s="2"/>
      <c r="C405" s="2"/>
      <c r="D405" s="2"/>
      <c r="E405" s="2" t="s">
        <v>86</v>
      </c>
      <c r="F405" s="2"/>
      <c r="H405" s="8" t="s">
        <v>194</v>
      </c>
      <c r="I405" s="2"/>
      <c r="J405" s="2"/>
      <c r="K405" s="2"/>
      <c r="M405" s="7"/>
    </row>
    <row r="406" customFormat="1" spans="1:14">
      <c r="A406" s="2"/>
      <c r="B406" s="2"/>
      <c r="C406" s="2"/>
      <c r="D406" s="2"/>
      <c r="E406" s="2" t="s">
        <v>87</v>
      </c>
      <c r="F406" s="2"/>
      <c r="H406" s="8" t="s">
        <v>195</v>
      </c>
      <c r="I406" s="2"/>
      <c r="J406" s="2"/>
      <c r="K406" s="2"/>
      <c r="M406" s="7"/>
    </row>
    <row r="407" customFormat="1" spans="1:14">
      <c r="A407" s="2"/>
      <c r="B407" s="2"/>
      <c r="C407" s="2"/>
      <c r="D407" s="2"/>
      <c r="E407" s="2" t="s">
        <v>88</v>
      </c>
      <c r="F407" s="2"/>
      <c r="H407" s="8" t="s">
        <v>196</v>
      </c>
      <c r="I407" s="2"/>
      <c r="J407" s="2"/>
      <c r="K407" s="2"/>
      <c r="M407" s="7"/>
    </row>
    <row r="408" customFormat="1" spans="1:14">
      <c r="A408" s="2"/>
      <c r="B408" s="2"/>
      <c r="C408" s="2"/>
      <c r="D408" s="2"/>
      <c r="E408" s="2" t="s">
        <v>90</v>
      </c>
      <c r="F408" s="2"/>
      <c r="H408" s="8" t="s">
        <v>197</v>
      </c>
      <c r="I408" s="2"/>
      <c r="J408" s="2"/>
      <c r="K408" s="2"/>
      <c r="M408" s="7"/>
    </row>
    <row r="409" customFormat="1" spans="1:14">
      <c r="A409" s="2"/>
      <c r="B409" s="2"/>
      <c r="C409" s="2"/>
      <c r="D409" s="2"/>
      <c r="E409" s="2" t="s">
        <v>91</v>
      </c>
      <c r="F409" s="2"/>
      <c r="H409" s="8" t="s">
        <v>198</v>
      </c>
      <c r="I409" s="2"/>
      <c r="J409" s="2"/>
      <c r="K409" s="2"/>
      <c r="M409" s="7"/>
    </row>
    <row r="410" customFormat="1" spans="1:14">
      <c r="A410" s="2"/>
      <c r="B410" s="2"/>
      <c r="C410" s="2"/>
      <c r="D410" s="2"/>
      <c r="E410" s="2" t="s">
        <v>92</v>
      </c>
      <c r="F410" s="2"/>
      <c r="H410" s="8" t="s">
        <v>199</v>
      </c>
      <c r="I410" s="2"/>
      <c r="J410" s="2"/>
      <c r="K410" s="2"/>
      <c r="M410" s="7"/>
    </row>
    <row r="411" customFormat="1" spans="1:14">
      <c r="A411" s="2"/>
      <c r="B411" s="2"/>
      <c r="C411" s="2"/>
      <c r="D411" s="2"/>
      <c r="E411" s="2" t="s">
        <v>93</v>
      </c>
      <c r="F411" s="2"/>
      <c r="H411" s="8" t="s">
        <v>200</v>
      </c>
      <c r="I411" s="2"/>
      <c r="J411" s="2"/>
      <c r="K411" s="2"/>
      <c r="M411" s="7"/>
    </row>
    <row r="412" customFormat="1" spans="1:14">
      <c r="A412" s="2"/>
      <c r="B412" s="2"/>
      <c r="C412" s="2"/>
      <c r="D412" s="2"/>
      <c r="E412" s="2" t="s">
        <v>94</v>
      </c>
      <c r="F412" s="2"/>
      <c r="H412" s="2"/>
      <c r="I412" s="2"/>
      <c r="J412" s="2"/>
      <c r="K412" s="2"/>
      <c r="M412" s="7"/>
    </row>
    <row r="413" customFormat="1" spans="1:14">
      <c r="A413" s="2"/>
      <c r="B413" s="2"/>
      <c r="C413" s="2"/>
      <c r="D413" s="2"/>
      <c r="E413" s="2"/>
      <c r="F413" s="2"/>
      <c r="G413"/>
      <c r="H413" s="2"/>
      <c r="I413" s="2"/>
      <c r="J413" s="2"/>
      <c r="K413" s="2"/>
      <c r="L413"/>
      <c r="M413" s="7"/>
    </row>
    <row r="414" spans="1:14">
      <c r="A414" s="2" t="s">
        <v>207</v>
      </c>
      <c r="B414" s="2" t="s">
        <v>208</v>
      </c>
      <c r="E414" s="2" t="s">
        <v>34</v>
      </c>
      <c r="G414"/>
      <c r="H414" s="8" t="s">
        <v>149</v>
      </c>
      <c r="I414"/>
      <c r="J414"/>
      <c r="L414"/>
      <c r="N414"/>
    </row>
    <row r="415" spans="1:14">
      <c r="A415" s="2" t="s">
        <v>209</v>
      </c>
      <c r="E415" s="2" t="s">
        <v>36</v>
      </c>
      <c r="G415"/>
      <c r="H415" s="8" t="s">
        <v>150</v>
      </c>
      <c r="I415"/>
      <c r="J415"/>
      <c r="L415"/>
    </row>
    <row r="416" spans="1:14">
      <c r="E416" s="2" t="s">
        <v>37</v>
      </c>
      <c r="G416"/>
      <c r="H416" s="8" t="s">
        <v>151</v>
      </c>
      <c r="I416"/>
      <c r="J416"/>
      <c r="L416"/>
    </row>
    <row r="417" spans="5:14">
      <c r="E417" s="2" t="s">
        <v>38</v>
      </c>
      <c r="G417"/>
      <c r="H417" s="8" t="s">
        <v>152</v>
      </c>
      <c r="I417"/>
      <c r="J417"/>
      <c r="L417"/>
      <c r="N417"/>
    </row>
    <row r="418" spans="5:14">
      <c r="E418" s="2" t="s">
        <v>39</v>
      </c>
      <c r="G418"/>
      <c r="H418" s="8" t="s">
        <v>153</v>
      </c>
      <c r="I418"/>
      <c r="J418"/>
      <c r="L418"/>
    </row>
    <row r="419" spans="5:14">
      <c r="E419" s="2" t="s">
        <v>41</v>
      </c>
      <c r="G419"/>
      <c r="H419" s="8" t="s">
        <v>154</v>
      </c>
      <c r="I419"/>
      <c r="J419"/>
      <c r="L419"/>
    </row>
    <row r="420" spans="5:14">
      <c r="E420" s="2" t="s">
        <v>42</v>
      </c>
      <c r="G420"/>
      <c r="H420" s="8" t="s">
        <v>155</v>
      </c>
      <c r="I420"/>
      <c r="J420"/>
      <c r="L420"/>
    </row>
    <row r="421" spans="5:14">
      <c r="E421" s="2" t="s">
        <v>43</v>
      </c>
      <c r="G421"/>
      <c r="H421" s="8" t="s">
        <v>156</v>
      </c>
      <c r="I421"/>
      <c r="J421"/>
      <c r="L421"/>
    </row>
    <row r="422" spans="5:14">
      <c r="E422" s="2" t="s">
        <v>44</v>
      </c>
      <c r="G422"/>
      <c r="H422" s="8" t="s">
        <v>157</v>
      </c>
      <c r="I422"/>
      <c r="J422"/>
      <c r="L422"/>
      <c r="N422"/>
    </row>
    <row r="423" spans="5:14">
      <c r="E423" s="2" t="s">
        <v>45</v>
      </c>
      <c r="G423"/>
      <c r="H423" s="8" t="s">
        <v>158</v>
      </c>
      <c r="I423"/>
      <c r="J423"/>
      <c r="L423"/>
      <c r="N423" s="7" t="s">
        <v>210</v>
      </c>
    </row>
    <row r="424" spans="5:14">
      <c r="E424" s="2" t="s">
        <v>47</v>
      </c>
      <c r="G424"/>
      <c r="H424" s="8" t="s">
        <v>160</v>
      </c>
      <c r="I424"/>
      <c r="J424"/>
      <c r="L424"/>
      <c r="N424"/>
    </row>
    <row r="425" spans="5:14">
      <c r="E425" s="2" t="s">
        <v>48</v>
      </c>
      <c r="G425"/>
      <c r="H425" s="8" t="s">
        <v>161</v>
      </c>
      <c r="I425"/>
      <c r="J425"/>
      <c r="L425"/>
      <c r="N425"/>
    </row>
    <row r="426" spans="5:14">
      <c r="E426" s="2" t="s">
        <v>49</v>
      </c>
      <c r="G426"/>
      <c r="H426" s="8" t="s">
        <v>162</v>
      </c>
      <c r="I426"/>
      <c r="J426"/>
      <c r="L426"/>
      <c r="N426"/>
    </row>
    <row r="427" spans="5:14">
      <c r="E427" s="2" t="s">
        <v>50</v>
      </c>
      <c r="G427"/>
      <c r="H427" s="8" t="s">
        <v>163</v>
      </c>
      <c r="I427"/>
      <c r="J427"/>
      <c r="L427"/>
      <c r="N427"/>
    </row>
    <row r="428" spans="5:14">
      <c r="E428" s="2" t="s">
        <v>51</v>
      </c>
      <c r="G428"/>
      <c r="H428" s="8" t="s">
        <v>164</v>
      </c>
      <c r="I428"/>
      <c r="J428"/>
      <c r="L428"/>
      <c r="N428"/>
    </row>
    <row r="429" spans="5:14">
      <c r="E429" s="2" t="s">
        <v>53</v>
      </c>
      <c r="G429"/>
      <c r="H429" s="8" t="s">
        <v>165</v>
      </c>
      <c r="I429"/>
      <c r="J429"/>
      <c r="L429"/>
      <c r="N429"/>
    </row>
    <row r="430" spans="5:14">
      <c r="E430" s="2" t="s">
        <v>54</v>
      </c>
      <c r="G430"/>
      <c r="H430" s="8" t="s">
        <v>166</v>
      </c>
      <c r="I430"/>
      <c r="J430"/>
      <c r="L430"/>
      <c r="N430"/>
    </row>
    <row r="431" spans="5:14">
      <c r="E431" s="2" t="s">
        <v>55</v>
      </c>
      <c r="G431"/>
      <c r="H431" s="8" t="s">
        <v>167</v>
      </c>
      <c r="I431"/>
      <c r="J431"/>
      <c r="L431"/>
      <c r="N431"/>
    </row>
    <row r="432" spans="5:14">
      <c r="E432" s="2" t="s">
        <v>56</v>
      </c>
      <c r="G432"/>
      <c r="H432" s="8" t="s">
        <v>168</v>
      </c>
      <c r="I432"/>
      <c r="J432"/>
      <c r="L432"/>
      <c r="N432"/>
    </row>
    <row r="433" spans="1:14">
      <c r="E433" s="2" t="s">
        <v>57</v>
      </c>
      <c r="G433"/>
      <c r="H433" s="8" t="s">
        <v>169</v>
      </c>
      <c r="I433"/>
      <c r="J433"/>
      <c r="L433"/>
      <c r="N433" t="s">
        <v>211</v>
      </c>
    </row>
    <row r="434" spans="1:14">
      <c r="E434" s="2" t="s">
        <v>59</v>
      </c>
      <c r="G434"/>
      <c r="H434" s="8" t="s">
        <v>171</v>
      </c>
      <c r="I434"/>
      <c r="J434"/>
      <c r="L434"/>
      <c r="N434"/>
    </row>
    <row r="435" spans="1:14">
      <c r="E435" s="2" t="s">
        <v>60</v>
      </c>
      <c r="G435"/>
      <c r="H435" s="8" t="s">
        <v>172</v>
      </c>
      <c r="I435"/>
      <c r="J435"/>
      <c r="L435"/>
      <c r="N435"/>
    </row>
    <row r="436" spans="1:14">
      <c r="E436" s="2" t="s">
        <v>61</v>
      </c>
      <c r="G436"/>
      <c r="H436" s="8" t="s">
        <v>173</v>
      </c>
      <c r="I436"/>
      <c r="J436"/>
      <c r="L436"/>
      <c r="N436"/>
    </row>
    <row r="437" spans="1:14">
      <c r="E437" s="2" t="s">
        <v>62</v>
      </c>
      <c r="G437"/>
      <c r="H437" s="8" t="s">
        <v>174</v>
      </c>
      <c r="I437"/>
      <c r="J437"/>
      <c r="L437"/>
      <c r="N437"/>
    </row>
    <row r="438" spans="1:14">
      <c r="E438" s="2" t="s">
        <v>63</v>
      </c>
      <c r="G438"/>
      <c r="H438" s="8" t="s">
        <v>175</v>
      </c>
      <c r="I438"/>
      <c r="J438"/>
      <c r="L438"/>
      <c r="N438"/>
    </row>
    <row r="439" customFormat="1" spans="1:14">
      <c r="A439" s="2"/>
      <c r="B439" s="2"/>
      <c r="C439" s="2"/>
      <c r="D439" s="2"/>
      <c r="E439" s="2" t="s">
        <v>65</v>
      </c>
      <c r="F439" s="2"/>
      <c r="G439"/>
      <c r="H439" s="8" t="s">
        <v>176</v>
      </c>
      <c r="I439" s="2"/>
      <c r="J439" s="2"/>
      <c r="K439" s="2"/>
    </row>
    <row r="440" customFormat="1" spans="1:14">
      <c r="A440" s="2"/>
      <c r="B440" s="2"/>
      <c r="C440" s="2"/>
      <c r="D440" s="2"/>
      <c r="E440" s="2" t="s">
        <v>66</v>
      </c>
      <c r="F440" s="2"/>
      <c r="G440"/>
      <c r="H440" s="8" t="s">
        <v>177</v>
      </c>
      <c r="I440" s="2"/>
      <c r="J440" s="2"/>
      <c r="K440" s="2"/>
      <c r="L440"/>
      <c r="M440" s="7"/>
    </row>
    <row r="441" customFormat="1" spans="1:14">
      <c r="A441" s="2"/>
      <c r="B441" s="2"/>
      <c r="C441" s="2"/>
      <c r="D441" s="2"/>
      <c r="E441" s="2" t="s">
        <v>67</v>
      </c>
      <c r="F441" s="2"/>
      <c r="G441"/>
      <c r="H441" s="8" t="s">
        <v>178</v>
      </c>
      <c r="I441" s="2"/>
      <c r="J441" s="2"/>
      <c r="K441" s="2"/>
      <c r="L441"/>
      <c r="M441" s="7"/>
    </row>
    <row r="442" customFormat="1" spans="1:14">
      <c r="A442" s="2"/>
      <c r="B442" s="2"/>
      <c r="C442" s="2"/>
      <c r="D442" s="2"/>
      <c r="E442" s="2" t="s">
        <v>68</v>
      </c>
      <c r="F442" s="2"/>
      <c r="G442"/>
      <c r="H442" s="8" t="s">
        <v>179</v>
      </c>
      <c r="I442" s="2"/>
      <c r="J442" s="2"/>
      <c r="K442" s="2"/>
      <c r="L442"/>
      <c r="M442" s="7"/>
    </row>
    <row r="443" customFormat="1" spans="1:14">
      <c r="A443" s="2"/>
      <c r="B443" s="2"/>
      <c r="C443" s="2"/>
      <c r="D443" s="2"/>
      <c r="E443" s="2" t="s">
        <v>69</v>
      </c>
      <c r="F443" s="2"/>
      <c r="G443"/>
      <c r="H443" s="8" t="s">
        <v>180</v>
      </c>
      <c r="I443" s="2"/>
      <c r="J443" s="2"/>
      <c r="K443" s="2"/>
      <c r="L443"/>
      <c r="M443" s="7"/>
      <c r="N443" t="s">
        <v>212</v>
      </c>
    </row>
    <row r="444" customFormat="1" spans="1:14">
      <c r="A444" s="2"/>
      <c r="B444" s="2"/>
      <c r="C444" s="2"/>
      <c r="D444" s="2"/>
      <c r="E444" s="2" t="s">
        <v>71</v>
      </c>
      <c r="F444" s="2"/>
      <c r="G444"/>
      <c r="H444" s="8" t="s">
        <v>181</v>
      </c>
      <c r="I444" s="2"/>
      <c r="J444" s="2"/>
      <c r="K444" s="2"/>
      <c r="L444"/>
      <c r="M444" s="7"/>
    </row>
    <row r="445" customFormat="1" spans="1:14">
      <c r="A445" s="2"/>
      <c r="B445" s="2"/>
      <c r="C445" s="2"/>
      <c r="D445" s="2"/>
      <c r="E445" s="2" t="s">
        <v>72</v>
      </c>
      <c r="F445" s="2"/>
      <c r="G445"/>
      <c r="H445" s="8" t="s">
        <v>182</v>
      </c>
      <c r="I445" s="2"/>
      <c r="J445" s="2"/>
      <c r="K445" s="2"/>
      <c r="L445"/>
      <c r="M445" s="7"/>
    </row>
    <row r="446" customFormat="1" spans="1:14">
      <c r="A446" s="2"/>
      <c r="B446" s="2"/>
      <c r="C446" s="2"/>
      <c r="D446" s="2"/>
      <c r="E446" s="2" t="s">
        <v>73</v>
      </c>
      <c r="F446" s="2"/>
      <c r="G446"/>
      <c r="H446" s="8" t="s">
        <v>183</v>
      </c>
      <c r="I446" s="2"/>
      <c r="J446" s="2"/>
      <c r="K446" s="2"/>
      <c r="L446"/>
      <c r="M446" s="7"/>
    </row>
    <row r="447" customFormat="1" spans="1:14">
      <c r="A447" s="2"/>
      <c r="B447" s="2"/>
      <c r="C447" s="2"/>
      <c r="D447" s="2"/>
      <c r="E447" s="2" t="s">
        <v>74</v>
      </c>
      <c r="F447" s="2"/>
      <c r="G447"/>
      <c r="H447" s="8" t="s">
        <v>184</v>
      </c>
      <c r="I447" s="2"/>
      <c r="J447" s="2"/>
      <c r="K447" s="2"/>
      <c r="L447"/>
      <c r="M447" s="7"/>
    </row>
    <row r="448" customFormat="1" spans="1:14">
      <c r="A448" s="2"/>
      <c r="B448" s="2"/>
      <c r="C448" s="2"/>
      <c r="D448" s="2"/>
      <c r="E448" s="2" t="s">
        <v>75</v>
      </c>
      <c r="F448" s="2"/>
      <c r="G448"/>
      <c r="H448" s="8" t="s">
        <v>185</v>
      </c>
      <c r="I448" s="2"/>
      <c r="J448" s="2"/>
      <c r="K448" s="2"/>
      <c r="L448"/>
      <c r="M448" s="7"/>
    </row>
    <row r="449" customFormat="1" spans="1:14">
      <c r="A449" s="2"/>
      <c r="B449" s="2"/>
      <c r="C449" s="2"/>
      <c r="D449" s="2"/>
      <c r="E449" s="2" t="s">
        <v>77</v>
      </c>
      <c r="F449" s="2"/>
      <c r="G449"/>
      <c r="H449" s="8" t="s">
        <v>186</v>
      </c>
      <c r="I449" s="2"/>
      <c r="J449" s="2"/>
      <c r="K449" s="2"/>
      <c r="L449"/>
      <c r="M449" s="7"/>
    </row>
    <row r="450" customFormat="1" spans="1:14">
      <c r="A450" s="2"/>
      <c r="B450" s="2"/>
      <c r="C450" s="2"/>
      <c r="D450" s="2"/>
      <c r="E450" s="2" t="s">
        <v>78</v>
      </c>
      <c r="F450" s="2"/>
      <c r="G450"/>
      <c r="H450" s="8" t="s">
        <v>187</v>
      </c>
      <c r="I450" s="2"/>
      <c r="J450" s="2"/>
      <c r="K450" s="2"/>
      <c r="L450"/>
      <c r="M450" s="7"/>
    </row>
    <row r="451" customFormat="1" spans="1:14">
      <c r="A451" s="2"/>
      <c r="B451" s="2"/>
      <c r="C451" s="2"/>
      <c r="D451" s="2"/>
      <c r="E451" s="2" t="s">
        <v>79</v>
      </c>
      <c r="F451" s="2"/>
      <c r="G451"/>
      <c r="H451" s="8" t="s">
        <v>188</v>
      </c>
      <c r="I451" s="2"/>
      <c r="J451" s="2"/>
      <c r="K451" s="2"/>
      <c r="L451"/>
      <c r="M451" s="7"/>
    </row>
    <row r="452" customFormat="1" spans="1:14">
      <c r="A452" s="2"/>
      <c r="B452" s="2"/>
      <c r="C452" s="2"/>
      <c r="D452" s="2"/>
      <c r="E452" s="2" t="s">
        <v>80</v>
      </c>
      <c r="F452" s="2"/>
      <c r="G452"/>
      <c r="H452" s="8" t="s">
        <v>189</v>
      </c>
      <c r="I452" s="2"/>
      <c r="J452" s="2"/>
      <c r="K452" s="2"/>
      <c r="L452"/>
      <c r="M452" s="7"/>
    </row>
    <row r="453" customFormat="1" spans="1:14">
      <c r="A453" s="2"/>
      <c r="B453" s="2"/>
      <c r="C453" s="2"/>
      <c r="D453" s="2"/>
      <c r="E453" s="2" t="s">
        <v>81</v>
      </c>
      <c r="F453" s="2"/>
      <c r="G453"/>
      <c r="H453" s="8" t="s">
        <v>190</v>
      </c>
      <c r="I453" s="2"/>
      <c r="J453" s="2"/>
      <c r="K453" s="2"/>
      <c r="L453"/>
      <c r="M453" s="7"/>
      <c r="N453" t="s">
        <v>213</v>
      </c>
    </row>
    <row r="454" customFormat="1" spans="1:14">
      <c r="A454" s="2"/>
      <c r="B454" s="2"/>
      <c r="C454" s="2"/>
      <c r="D454" s="2"/>
      <c r="E454" s="2" t="s">
        <v>84</v>
      </c>
      <c r="F454" s="2"/>
      <c r="H454" s="8" t="s">
        <v>192</v>
      </c>
      <c r="I454" s="2"/>
      <c r="J454" s="2"/>
      <c r="K454" s="2"/>
      <c r="M454" s="7"/>
    </row>
    <row r="455" customFormat="1" spans="1:14">
      <c r="A455" s="2"/>
      <c r="B455" s="2"/>
      <c r="C455" s="2"/>
      <c r="D455" s="2"/>
      <c r="E455" s="2" t="s">
        <v>85</v>
      </c>
      <c r="F455" s="2"/>
      <c r="H455" s="8" t="s">
        <v>193</v>
      </c>
      <c r="I455" s="2"/>
      <c r="J455" s="2"/>
      <c r="K455" s="2"/>
      <c r="M455" s="7"/>
    </row>
    <row r="456" customFormat="1" spans="1:14">
      <c r="A456" s="2"/>
      <c r="B456" s="2"/>
      <c r="C456" s="2"/>
      <c r="D456" s="2"/>
      <c r="E456" s="2" t="s">
        <v>86</v>
      </c>
      <c r="F456" s="2"/>
      <c r="H456" s="8" t="s">
        <v>194</v>
      </c>
      <c r="I456" s="2"/>
      <c r="J456" s="2"/>
      <c r="K456" s="2"/>
      <c r="M456" s="7"/>
    </row>
    <row r="457" customFormat="1" spans="1:14">
      <c r="A457" s="2"/>
      <c r="B457" s="2"/>
      <c r="C457" s="2"/>
      <c r="D457" s="2"/>
      <c r="E457" s="2" t="s">
        <v>87</v>
      </c>
      <c r="F457" s="2"/>
      <c r="H457" s="8" t="s">
        <v>195</v>
      </c>
      <c r="I457" s="2"/>
      <c r="J457" s="2"/>
      <c r="K457" s="2"/>
      <c r="M457" s="7"/>
    </row>
    <row r="458" customFormat="1" spans="1:14">
      <c r="A458" s="2"/>
      <c r="B458" s="2"/>
      <c r="C458" s="2"/>
      <c r="D458" s="2"/>
      <c r="E458" s="2" t="s">
        <v>88</v>
      </c>
      <c r="F458" s="2"/>
      <c r="H458" s="8" t="s">
        <v>196</v>
      </c>
      <c r="I458" s="2"/>
      <c r="J458" s="2"/>
      <c r="K458" s="2"/>
      <c r="M458" s="7"/>
    </row>
    <row r="459" customFormat="1" spans="1:14">
      <c r="A459" s="2"/>
      <c r="B459" s="2"/>
      <c r="C459" s="2"/>
      <c r="D459" s="2"/>
      <c r="E459" s="2" t="s">
        <v>90</v>
      </c>
      <c r="F459" s="2"/>
      <c r="H459" s="8" t="s">
        <v>197</v>
      </c>
      <c r="I459" s="2"/>
      <c r="J459" s="2"/>
      <c r="K459" s="2"/>
      <c r="M459" s="7"/>
    </row>
    <row r="460" customFormat="1" spans="1:14">
      <c r="A460" s="2"/>
      <c r="B460" s="2"/>
      <c r="C460" s="2"/>
      <c r="D460" s="2"/>
      <c r="E460" s="2" t="s">
        <v>91</v>
      </c>
      <c r="F460" s="2"/>
      <c r="H460" s="8" t="s">
        <v>198</v>
      </c>
      <c r="I460" s="2"/>
      <c r="J460" s="2"/>
      <c r="K460" s="2"/>
      <c r="M460" s="7"/>
    </row>
    <row r="461" customFormat="1" spans="1:14">
      <c r="A461" s="2"/>
      <c r="B461" s="2"/>
      <c r="C461" s="2"/>
      <c r="D461" s="2"/>
      <c r="E461" s="2" t="s">
        <v>92</v>
      </c>
      <c r="F461" s="2"/>
      <c r="H461" s="8" t="s">
        <v>199</v>
      </c>
      <c r="I461" s="2"/>
      <c r="J461" s="2"/>
      <c r="K461" s="2"/>
      <c r="M461" s="7"/>
    </row>
    <row r="462" customFormat="1" spans="1:14">
      <c r="A462" s="2"/>
      <c r="B462" s="2"/>
      <c r="C462" s="2"/>
      <c r="D462" s="2"/>
      <c r="E462" s="2" t="s">
        <v>93</v>
      </c>
      <c r="F462" s="2"/>
      <c r="H462" s="8" t="s">
        <v>200</v>
      </c>
      <c r="I462" s="2"/>
      <c r="J462" s="2"/>
      <c r="K462" s="2"/>
      <c r="M462" s="7"/>
    </row>
    <row r="463" customFormat="1" spans="1:14">
      <c r="A463" s="2"/>
      <c r="B463" s="2"/>
      <c r="C463" s="2"/>
      <c r="D463" s="2"/>
      <c r="E463" s="2" t="s">
        <v>94</v>
      </c>
      <c r="F463" s="2"/>
      <c r="H463" s="2"/>
      <c r="I463" s="2"/>
      <c r="J463" s="2"/>
      <c r="K463" s="2"/>
      <c r="M463" s="7"/>
    </row>
    <row r="464" customFormat="1" spans="1:14">
      <c r="A464" s="2"/>
      <c r="B464" s="2"/>
      <c r="C464" s="2"/>
      <c r="D464" s="2"/>
      <c r="E464" s="2"/>
      <c r="F464" s="2"/>
      <c r="G464"/>
      <c r="H464" s="2"/>
      <c r="I464" s="2"/>
      <c r="J464" s="2"/>
      <c r="K464" s="2"/>
      <c r="L464"/>
      <c r="M464" s="7"/>
    </row>
    <row r="465" spans="1:14">
      <c r="A465" s="2" t="s">
        <v>214</v>
      </c>
      <c r="B465" s="2" t="s">
        <v>215</v>
      </c>
      <c r="E465" s="2" t="s">
        <v>34</v>
      </c>
      <c r="G465"/>
      <c r="H465" s="8" t="s">
        <v>149</v>
      </c>
      <c r="I465"/>
      <c r="J465"/>
      <c r="L465"/>
      <c r="N465"/>
    </row>
    <row r="466" spans="1:14">
      <c r="E466" s="2" t="s">
        <v>36</v>
      </c>
      <c r="G466"/>
      <c r="H466" s="8" t="s">
        <v>150</v>
      </c>
      <c r="I466"/>
      <c r="J466"/>
      <c r="L466"/>
      <c r="N466"/>
    </row>
    <row r="467" spans="1:14">
      <c r="E467" s="2" t="s">
        <v>37</v>
      </c>
      <c r="G467"/>
      <c r="H467" s="8" t="s">
        <v>151</v>
      </c>
      <c r="I467"/>
      <c r="J467"/>
      <c r="L467"/>
      <c r="N467"/>
    </row>
    <row r="468" spans="1:14">
      <c r="E468" s="2" t="s">
        <v>38</v>
      </c>
      <c r="G468"/>
      <c r="H468" s="8" t="s">
        <v>152</v>
      </c>
      <c r="I468"/>
      <c r="J468"/>
      <c r="L468"/>
      <c r="N468"/>
    </row>
    <row r="469" spans="1:14">
      <c r="E469" s="2" t="s">
        <v>39</v>
      </c>
      <c r="G469"/>
      <c r="H469" s="8" t="s">
        <v>153</v>
      </c>
      <c r="I469"/>
      <c r="J469"/>
      <c r="L469"/>
      <c r="N469"/>
    </row>
    <row r="470" spans="1:14">
      <c r="E470" s="2" t="s">
        <v>41</v>
      </c>
      <c r="G470"/>
      <c r="H470" s="8" t="s">
        <v>154</v>
      </c>
      <c r="I470"/>
      <c r="J470"/>
      <c r="L470"/>
      <c r="N470"/>
    </row>
    <row r="471" spans="1:14">
      <c r="E471" s="2" t="s">
        <v>42</v>
      </c>
      <c r="G471"/>
      <c r="H471" s="8" t="s">
        <v>155</v>
      </c>
      <c r="I471"/>
      <c r="J471"/>
      <c r="L471"/>
      <c r="N471"/>
    </row>
    <row r="472" spans="1:14">
      <c r="E472" s="2" t="s">
        <v>43</v>
      </c>
      <c r="G472"/>
      <c r="H472" s="8" t="s">
        <v>156</v>
      </c>
      <c r="I472"/>
      <c r="J472"/>
      <c r="L472"/>
      <c r="N472"/>
    </row>
    <row r="473" spans="1:14">
      <c r="E473" s="2" t="s">
        <v>44</v>
      </c>
      <c r="G473"/>
      <c r="H473" s="8" t="s">
        <v>157</v>
      </c>
      <c r="I473"/>
      <c r="J473"/>
      <c r="L473"/>
      <c r="N473"/>
    </row>
    <row r="474" spans="1:14">
      <c r="E474" s="2" t="s">
        <v>45</v>
      </c>
      <c r="G474"/>
      <c r="H474" s="8" t="s">
        <v>158</v>
      </c>
      <c r="I474"/>
      <c r="J474"/>
      <c r="L474"/>
      <c r="N474" t="s">
        <v>216</v>
      </c>
    </row>
    <row r="475" spans="1:14">
      <c r="E475" s="2" t="s">
        <v>47</v>
      </c>
      <c r="G475"/>
      <c r="H475" s="8" t="s">
        <v>160</v>
      </c>
      <c r="I475"/>
      <c r="J475"/>
      <c r="L475"/>
      <c r="N475"/>
    </row>
    <row r="476" spans="1:14">
      <c r="E476" s="2" t="s">
        <v>48</v>
      </c>
      <c r="G476"/>
      <c r="H476" s="8" t="s">
        <v>161</v>
      </c>
      <c r="I476"/>
      <c r="J476"/>
      <c r="L476"/>
      <c r="N476"/>
    </row>
    <row r="477" spans="1:14">
      <c r="E477" s="2" t="s">
        <v>49</v>
      </c>
      <c r="G477"/>
      <c r="H477" s="8" t="s">
        <v>162</v>
      </c>
      <c r="I477"/>
      <c r="J477"/>
      <c r="L477"/>
      <c r="N477"/>
    </row>
    <row r="478" spans="1:14">
      <c r="E478" s="2" t="s">
        <v>50</v>
      </c>
      <c r="G478"/>
      <c r="H478" s="8" t="s">
        <v>163</v>
      </c>
      <c r="I478"/>
      <c r="J478"/>
      <c r="L478"/>
      <c r="N478"/>
    </row>
    <row r="479" spans="1:14">
      <c r="E479" s="2" t="s">
        <v>51</v>
      </c>
      <c r="G479"/>
      <c r="H479" s="8" t="s">
        <v>164</v>
      </c>
      <c r="I479"/>
      <c r="J479"/>
      <c r="L479"/>
      <c r="N479"/>
    </row>
    <row r="480" spans="1:14">
      <c r="E480" s="2" t="s">
        <v>53</v>
      </c>
      <c r="G480"/>
      <c r="H480" s="8" t="s">
        <v>165</v>
      </c>
      <c r="I480"/>
      <c r="J480"/>
      <c r="L480"/>
      <c r="N480"/>
    </row>
    <row r="481" spans="1:14">
      <c r="E481" s="2" t="s">
        <v>54</v>
      </c>
      <c r="G481"/>
      <c r="H481" s="8" t="s">
        <v>166</v>
      </c>
      <c r="I481"/>
      <c r="J481"/>
      <c r="L481"/>
      <c r="N481"/>
    </row>
    <row r="482" spans="1:14">
      <c r="E482" s="2" t="s">
        <v>55</v>
      </c>
      <c r="G482"/>
      <c r="H482" s="8" t="s">
        <v>167</v>
      </c>
      <c r="I482"/>
      <c r="J482"/>
      <c r="L482"/>
      <c r="N482"/>
    </row>
    <row r="483" spans="1:14">
      <c r="E483" s="2" t="s">
        <v>56</v>
      </c>
      <c r="G483"/>
      <c r="H483" s="8" t="s">
        <v>168</v>
      </c>
      <c r="I483"/>
      <c r="J483"/>
      <c r="L483"/>
      <c r="N483"/>
    </row>
    <row r="484" spans="1:14">
      <c r="E484" s="2" t="s">
        <v>57</v>
      </c>
      <c r="G484"/>
      <c r="H484" s="8" t="s">
        <v>169</v>
      </c>
      <c r="I484"/>
      <c r="J484"/>
      <c r="L484"/>
      <c r="N484" t="s">
        <v>217</v>
      </c>
    </row>
    <row r="485" spans="1:14">
      <c r="E485" s="2" t="s">
        <v>59</v>
      </c>
      <c r="G485"/>
      <c r="H485" s="8" t="s">
        <v>171</v>
      </c>
      <c r="I485"/>
      <c r="J485"/>
      <c r="L485"/>
      <c r="N485"/>
    </row>
    <row r="486" spans="1:14">
      <c r="E486" s="2" t="s">
        <v>60</v>
      </c>
      <c r="G486"/>
      <c r="H486" s="8" t="s">
        <v>172</v>
      </c>
      <c r="I486"/>
      <c r="J486"/>
      <c r="L486"/>
      <c r="N486"/>
    </row>
    <row r="487" spans="1:14">
      <c r="E487" s="2" t="s">
        <v>61</v>
      </c>
      <c r="G487"/>
      <c r="H487" s="8" t="s">
        <v>173</v>
      </c>
      <c r="I487"/>
      <c r="J487"/>
      <c r="L487"/>
      <c r="N487"/>
    </row>
    <row r="488" spans="1:14">
      <c r="E488" s="2" t="s">
        <v>62</v>
      </c>
      <c r="G488"/>
      <c r="H488" s="8" t="s">
        <v>174</v>
      </c>
      <c r="I488"/>
      <c r="J488"/>
      <c r="L488"/>
      <c r="N488"/>
    </row>
    <row r="489" spans="1:14">
      <c r="E489" s="2" t="s">
        <v>63</v>
      </c>
      <c r="G489"/>
      <c r="H489" s="8" t="s">
        <v>175</v>
      </c>
      <c r="I489"/>
      <c r="J489"/>
      <c r="L489"/>
      <c r="N489"/>
    </row>
    <row r="490" customFormat="1" spans="1:14">
      <c r="A490" s="2"/>
      <c r="B490" s="2"/>
      <c r="C490" s="2"/>
      <c r="D490" s="2"/>
      <c r="E490" s="2" t="s">
        <v>65</v>
      </c>
      <c r="F490" s="2"/>
      <c r="G490"/>
      <c r="H490" s="8" t="s">
        <v>176</v>
      </c>
      <c r="I490" s="2"/>
      <c r="J490" s="2"/>
      <c r="K490" s="2"/>
    </row>
    <row r="491" customFormat="1" spans="1:14">
      <c r="A491" s="2"/>
      <c r="B491" s="2"/>
      <c r="C491" s="2"/>
      <c r="D491" s="2"/>
      <c r="E491" s="2" t="s">
        <v>66</v>
      </c>
      <c r="F491" s="2"/>
      <c r="G491"/>
      <c r="H491" s="8" t="s">
        <v>177</v>
      </c>
      <c r="I491" s="2"/>
      <c r="J491" s="2"/>
      <c r="K491" s="2"/>
    </row>
    <row r="492" customFormat="1" spans="1:14">
      <c r="A492" s="2"/>
      <c r="B492" s="2"/>
      <c r="C492" s="2"/>
      <c r="D492" s="2"/>
      <c r="E492" s="2" t="s">
        <v>67</v>
      </c>
      <c r="F492" s="2"/>
      <c r="G492"/>
      <c r="H492" s="8" t="s">
        <v>178</v>
      </c>
      <c r="I492" s="2"/>
      <c r="J492" s="2"/>
      <c r="K492" s="2"/>
    </row>
    <row r="493" customFormat="1" spans="1:14">
      <c r="A493" s="2"/>
      <c r="B493" s="2"/>
      <c r="C493" s="2"/>
      <c r="D493" s="2"/>
      <c r="E493" s="2" t="s">
        <v>68</v>
      </c>
      <c r="F493" s="2"/>
      <c r="G493"/>
      <c r="H493" s="8" t="s">
        <v>179</v>
      </c>
      <c r="I493" s="2"/>
      <c r="J493" s="2"/>
      <c r="K493" s="2"/>
      <c r="L493"/>
      <c r="M493" s="7"/>
    </row>
    <row r="494" customFormat="1" spans="1:14">
      <c r="A494" s="2"/>
      <c r="B494" s="2"/>
      <c r="C494" s="2"/>
      <c r="D494" s="2"/>
      <c r="E494" s="2" t="s">
        <v>69</v>
      </c>
      <c r="F494" s="2"/>
      <c r="G494"/>
      <c r="H494" s="8" t="s">
        <v>180</v>
      </c>
      <c r="I494" s="2"/>
      <c r="J494" s="2"/>
      <c r="K494" s="2"/>
      <c r="L494"/>
      <c r="M494" s="7"/>
      <c r="N494" t="s">
        <v>218</v>
      </c>
    </row>
    <row r="495" customFormat="1" spans="1:14">
      <c r="A495" s="2"/>
      <c r="B495" s="2"/>
      <c r="C495" s="2"/>
      <c r="D495" s="2"/>
      <c r="E495" s="2" t="s">
        <v>71</v>
      </c>
      <c r="F495" s="2"/>
      <c r="G495"/>
      <c r="H495" s="8" t="s">
        <v>181</v>
      </c>
      <c r="I495" s="2"/>
      <c r="J495" s="2"/>
      <c r="K495" s="2"/>
      <c r="L495"/>
      <c r="M495" s="7"/>
    </row>
    <row r="496" customFormat="1" spans="1:14">
      <c r="A496" s="2"/>
      <c r="B496" s="2"/>
      <c r="C496" s="2"/>
      <c r="D496" s="2"/>
      <c r="E496" s="2" t="s">
        <v>72</v>
      </c>
      <c r="F496" s="2"/>
      <c r="G496"/>
      <c r="H496" s="8" t="s">
        <v>182</v>
      </c>
      <c r="I496" s="2"/>
      <c r="J496" s="2"/>
      <c r="K496" s="2"/>
      <c r="L496"/>
      <c r="M496" s="7"/>
    </row>
    <row r="497" customFormat="1" spans="1:14">
      <c r="A497" s="2"/>
      <c r="B497" s="2"/>
      <c r="C497" s="2"/>
      <c r="D497" s="2"/>
      <c r="E497" s="2" t="s">
        <v>73</v>
      </c>
      <c r="F497" s="2"/>
      <c r="G497"/>
      <c r="H497" s="8" t="s">
        <v>183</v>
      </c>
      <c r="I497" s="2"/>
      <c r="J497" s="2"/>
      <c r="K497" s="2"/>
      <c r="L497"/>
      <c r="M497" s="7"/>
    </row>
    <row r="498" customFormat="1" spans="1:14">
      <c r="A498" s="2"/>
      <c r="B498" s="2"/>
      <c r="C498" s="2"/>
      <c r="D498" s="2"/>
      <c r="E498" s="2" t="s">
        <v>74</v>
      </c>
      <c r="F498" s="2"/>
      <c r="G498"/>
      <c r="H498" s="8" t="s">
        <v>184</v>
      </c>
      <c r="I498" s="2"/>
      <c r="J498" s="2"/>
      <c r="K498" s="2"/>
      <c r="L498"/>
      <c r="M498" s="7"/>
    </row>
    <row r="499" customFormat="1" spans="1:14">
      <c r="A499" s="2"/>
      <c r="B499" s="2"/>
      <c r="C499" s="2"/>
      <c r="D499" s="2"/>
      <c r="E499" s="2" t="s">
        <v>75</v>
      </c>
      <c r="F499" s="2"/>
      <c r="G499"/>
      <c r="H499" s="8" t="s">
        <v>185</v>
      </c>
      <c r="I499" s="2"/>
      <c r="J499" s="2"/>
      <c r="K499" s="2"/>
      <c r="L499"/>
      <c r="M499" s="7"/>
    </row>
    <row r="500" customFormat="1" spans="1:14">
      <c r="A500" s="2"/>
      <c r="B500" s="2"/>
      <c r="C500" s="2"/>
      <c r="D500" s="2"/>
      <c r="E500" s="2" t="s">
        <v>77</v>
      </c>
      <c r="F500" s="2"/>
      <c r="G500"/>
      <c r="H500" s="8" t="s">
        <v>186</v>
      </c>
      <c r="I500" s="2"/>
      <c r="J500" s="2"/>
      <c r="K500" s="2"/>
      <c r="L500"/>
      <c r="M500" s="7"/>
    </row>
    <row r="501" customFormat="1" spans="1:14">
      <c r="A501" s="2"/>
      <c r="B501" s="2"/>
      <c r="C501" s="2"/>
      <c r="D501" s="2"/>
      <c r="E501" s="2" t="s">
        <v>78</v>
      </c>
      <c r="F501" s="2"/>
      <c r="G501"/>
      <c r="H501" s="8" t="s">
        <v>187</v>
      </c>
      <c r="I501" s="2"/>
      <c r="J501" s="2"/>
      <c r="K501" s="2"/>
      <c r="L501"/>
      <c r="M501" s="7"/>
    </row>
    <row r="502" customFormat="1" spans="1:14">
      <c r="A502" s="2"/>
      <c r="B502" s="2"/>
      <c r="C502" s="2"/>
      <c r="D502" s="2"/>
      <c r="E502" s="2" t="s">
        <v>79</v>
      </c>
      <c r="F502" s="2"/>
      <c r="G502"/>
      <c r="H502" s="8" t="s">
        <v>188</v>
      </c>
      <c r="I502" s="2"/>
      <c r="J502" s="2"/>
      <c r="K502" s="2"/>
      <c r="L502"/>
      <c r="M502" s="7"/>
    </row>
    <row r="503" customFormat="1" spans="1:14">
      <c r="A503" s="2"/>
      <c r="B503" s="2"/>
      <c r="C503" s="2"/>
      <c r="D503" s="2"/>
      <c r="E503" s="2" t="s">
        <v>80</v>
      </c>
      <c r="F503" s="2"/>
      <c r="G503"/>
      <c r="H503" s="8" t="s">
        <v>189</v>
      </c>
      <c r="I503" s="2"/>
      <c r="J503" s="2"/>
      <c r="K503" s="2"/>
      <c r="L503"/>
      <c r="M503" s="7"/>
    </row>
    <row r="504" customFormat="1" spans="1:14">
      <c r="A504" s="2"/>
      <c r="B504" s="2"/>
      <c r="C504" s="2"/>
      <c r="D504" s="2"/>
      <c r="E504" s="2" t="s">
        <v>81</v>
      </c>
      <c r="F504" s="2"/>
      <c r="G504"/>
      <c r="H504" s="8" t="s">
        <v>190</v>
      </c>
      <c r="I504" s="2"/>
      <c r="J504" s="2"/>
      <c r="K504" s="2"/>
      <c r="L504"/>
      <c r="M504" s="7"/>
      <c r="N504" t="s">
        <v>219</v>
      </c>
    </row>
    <row r="505" customFormat="1" spans="1:14">
      <c r="A505" s="2"/>
      <c r="B505" s="2"/>
      <c r="C505" s="2"/>
      <c r="D505" s="2"/>
      <c r="E505" s="2" t="s">
        <v>84</v>
      </c>
      <c r="F505" s="2"/>
      <c r="G505" s="2"/>
      <c r="H505" s="8" t="s">
        <v>192</v>
      </c>
      <c r="I505" s="2"/>
      <c r="J505" s="2"/>
      <c r="K505" s="2"/>
      <c r="M505" s="7"/>
    </row>
    <row r="506" customFormat="1" spans="1:14">
      <c r="A506" s="2"/>
      <c r="B506" s="2"/>
      <c r="C506" s="2"/>
      <c r="D506" s="2"/>
      <c r="E506" s="2" t="s">
        <v>85</v>
      </c>
      <c r="F506" s="2"/>
      <c r="G506" s="2"/>
      <c r="H506" s="8" t="s">
        <v>193</v>
      </c>
      <c r="I506" s="2"/>
      <c r="J506" s="2"/>
      <c r="K506" s="2"/>
      <c r="M506" s="7"/>
    </row>
    <row r="507" customFormat="1" spans="1:14">
      <c r="A507" s="2"/>
      <c r="B507" s="2"/>
      <c r="C507" s="2"/>
      <c r="D507" s="2"/>
      <c r="E507" s="2" t="s">
        <v>86</v>
      </c>
      <c r="F507" s="2"/>
      <c r="G507" s="2"/>
      <c r="H507" s="8" t="s">
        <v>194</v>
      </c>
      <c r="I507" s="2"/>
      <c r="J507" s="2"/>
      <c r="K507" s="2"/>
      <c r="M507" s="7"/>
    </row>
    <row r="508" customFormat="1" spans="1:14">
      <c r="A508" s="2"/>
      <c r="B508" s="2"/>
      <c r="C508" s="2"/>
      <c r="D508" s="2"/>
      <c r="E508" s="2" t="s">
        <v>87</v>
      </c>
      <c r="F508" s="2"/>
      <c r="G508" s="2"/>
      <c r="H508" s="8" t="s">
        <v>195</v>
      </c>
      <c r="I508" s="2"/>
      <c r="J508" s="2"/>
      <c r="K508" s="2"/>
      <c r="M508" s="7"/>
    </row>
    <row r="509" customFormat="1" spans="1:14">
      <c r="A509" s="2"/>
      <c r="B509" s="2"/>
      <c r="C509" s="2"/>
      <c r="D509" s="2"/>
      <c r="E509" s="2" t="s">
        <v>88</v>
      </c>
      <c r="F509" s="2"/>
      <c r="G509" s="2"/>
      <c r="H509" s="8" t="s">
        <v>196</v>
      </c>
      <c r="I509" s="2"/>
      <c r="J509" s="2"/>
      <c r="K509" s="2"/>
      <c r="M509" s="7"/>
    </row>
    <row r="510" customFormat="1" spans="1:14">
      <c r="A510" s="2"/>
      <c r="B510" s="2"/>
      <c r="C510" s="2"/>
      <c r="D510" s="2"/>
      <c r="E510" s="2" t="s">
        <v>90</v>
      </c>
      <c r="F510" s="2"/>
      <c r="G510" s="2"/>
      <c r="H510" s="8" t="s">
        <v>197</v>
      </c>
      <c r="I510" s="2"/>
      <c r="J510" s="2"/>
      <c r="K510" s="2"/>
      <c r="M510" s="7"/>
    </row>
    <row r="511" customFormat="1" spans="1:14">
      <c r="A511" s="2"/>
      <c r="B511" s="2"/>
      <c r="C511" s="2"/>
      <c r="D511" s="2"/>
      <c r="E511" s="2" t="s">
        <v>91</v>
      </c>
      <c r="F511" s="2"/>
      <c r="G511" s="2"/>
      <c r="H511" s="8" t="s">
        <v>198</v>
      </c>
      <c r="I511" s="2"/>
      <c r="J511" s="2"/>
      <c r="K511" s="2"/>
      <c r="M511" s="7"/>
    </row>
    <row r="512" customFormat="1" spans="1:14">
      <c r="A512" s="2"/>
      <c r="B512" s="2"/>
      <c r="C512" s="2"/>
      <c r="D512" s="2"/>
      <c r="E512" s="2" t="s">
        <v>92</v>
      </c>
      <c r="F512" s="2"/>
      <c r="G512" s="2"/>
      <c r="H512" s="8" t="s">
        <v>199</v>
      </c>
      <c r="I512" s="2"/>
      <c r="J512" s="2"/>
      <c r="K512" s="2"/>
      <c r="M512" s="7"/>
    </row>
    <row r="513" customFormat="1" spans="1:13">
      <c r="A513" s="2"/>
      <c r="B513" s="2"/>
      <c r="C513" s="2"/>
      <c r="D513" s="2"/>
      <c r="E513" s="2" t="s">
        <v>93</v>
      </c>
      <c r="F513" s="2"/>
      <c r="G513" s="2"/>
      <c r="H513" s="8" t="s">
        <v>200</v>
      </c>
      <c r="I513" s="2"/>
      <c r="J513" s="2"/>
      <c r="K513" s="2"/>
      <c r="M513" s="7"/>
    </row>
    <row r="514" customFormat="1" spans="1:13">
      <c r="A514" s="2"/>
      <c r="B514" s="2"/>
      <c r="C514" s="2"/>
      <c r="D514" s="2"/>
      <c r="E514" s="2" t="s">
        <v>94</v>
      </c>
      <c r="F514" s="2"/>
      <c r="G514" s="2"/>
      <c r="H514" s="2"/>
      <c r="I514" s="2"/>
      <c r="J514" s="2"/>
      <c r="K514" s="2"/>
      <c r="M514" s="7"/>
    </row>
    <row r="515" customFormat="1" spans="1: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/>
      <c r="M515" s="7"/>
    </row>
    <row r="516" customFormat="1" spans="1:13">
      <c r="A516" s="2" t="s">
        <v>220</v>
      </c>
      <c r="B516" s="2" t="s">
        <v>221</v>
      </c>
      <c r="C516" s="2"/>
      <c r="D516" s="2"/>
      <c r="E516" s="2" t="s">
        <v>34</v>
      </c>
      <c r="F516" s="2"/>
      <c r="G516" s="2"/>
      <c r="H516" s="2" t="s">
        <v>222</v>
      </c>
      <c r="K516" s="2"/>
    </row>
    <row r="517" customFormat="1" spans="1:13">
      <c r="A517" s="2"/>
      <c r="B517" s="2"/>
      <c r="C517" s="2"/>
      <c r="D517" s="2"/>
      <c r="E517" s="2" t="s">
        <v>36</v>
      </c>
      <c r="F517" s="2"/>
      <c r="G517" s="2"/>
      <c r="H517" s="2" t="s">
        <v>223</v>
      </c>
      <c r="K517" s="2"/>
    </row>
    <row r="518" customFormat="1" spans="1:13">
      <c r="A518" s="2"/>
      <c r="B518" s="2"/>
      <c r="C518" s="2"/>
      <c r="D518" s="2"/>
      <c r="E518" s="2" t="s">
        <v>37</v>
      </c>
      <c r="F518" s="2"/>
      <c r="G518" s="2"/>
      <c r="H518" s="2" t="s">
        <v>224</v>
      </c>
      <c r="K518" s="2"/>
    </row>
    <row r="519" customFormat="1" spans="1:13">
      <c r="A519" s="2"/>
      <c r="B519" s="2"/>
      <c r="C519" s="2"/>
      <c r="D519" s="2"/>
      <c r="E519" s="2" t="s">
        <v>38</v>
      </c>
      <c r="F519" s="2"/>
      <c r="G519" s="2"/>
      <c r="H519" s="2" t="s">
        <v>225</v>
      </c>
      <c r="K519" s="2"/>
    </row>
    <row r="520" customFormat="1" spans="1:13">
      <c r="A520" s="2"/>
      <c r="B520" s="2"/>
      <c r="C520" s="2"/>
      <c r="D520" s="2"/>
      <c r="E520" s="2" t="s">
        <v>39</v>
      </c>
      <c r="F520" s="2"/>
      <c r="G520" s="2"/>
      <c r="H520" s="2" t="s">
        <v>226</v>
      </c>
      <c r="K520" s="2"/>
    </row>
    <row r="521" customFormat="1" spans="1:13">
      <c r="A521" s="2"/>
      <c r="B521" s="2"/>
      <c r="C521" s="2"/>
      <c r="D521" s="2"/>
      <c r="E521" s="2" t="s">
        <v>41</v>
      </c>
      <c r="F521" s="2"/>
      <c r="G521" s="2"/>
      <c r="H521" s="2" t="s">
        <v>227</v>
      </c>
      <c r="K521" s="2"/>
    </row>
    <row r="522" customFormat="1" spans="1:13">
      <c r="A522" s="2"/>
      <c r="B522" s="2"/>
      <c r="C522" s="2"/>
      <c r="D522" s="2"/>
      <c r="E522" s="2" t="s">
        <v>42</v>
      </c>
      <c r="F522" s="2"/>
      <c r="G522" s="2"/>
      <c r="H522" s="2" t="s">
        <v>228</v>
      </c>
      <c r="K522" s="2"/>
    </row>
    <row r="523" customFormat="1" spans="1:13">
      <c r="A523" s="2"/>
      <c r="B523" s="2"/>
      <c r="C523" s="2"/>
      <c r="D523" s="2"/>
      <c r="E523" s="2" t="s">
        <v>43</v>
      </c>
      <c r="F523" s="2"/>
      <c r="G523" s="2"/>
      <c r="H523" s="2" t="s">
        <v>229</v>
      </c>
      <c r="K523" s="2"/>
    </row>
    <row r="524" customFormat="1" spans="1:13">
      <c r="A524" s="2"/>
      <c r="B524" s="2"/>
      <c r="C524" s="2"/>
      <c r="D524" s="2"/>
      <c r="E524" s="2" t="s">
        <v>44</v>
      </c>
      <c r="F524" s="2"/>
      <c r="G524" s="2"/>
      <c r="H524" s="2" t="s">
        <v>230</v>
      </c>
      <c r="K524" s="2"/>
    </row>
    <row r="525" customFormat="1" spans="1:13">
      <c r="A525" s="2"/>
      <c r="B525" s="2"/>
      <c r="C525" s="2"/>
      <c r="D525" s="2"/>
      <c r="E525" s="2" t="s">
        <v>45</v>
      </c>
      <c r="F525" s="2"/>
      <c r="G525" s="2"/>
      <c r="H525" s="2"/>
      <c r="K525" s="2"/>
    </row>
    <row r="526" customFormat="1" spans="1:13">
      <c r="A526" s="2"/>
      <c r="B526" s="2"/>
      <c r="C526" s="2"/>
      <c r="D526" s="2"/>
      <c r="E526" s="2" t="s">
        <v>47</v>
      </c>
      <c r="F526" s="2"/>
      <c r="G526" s="2"/>
      <c r="H526" s="2"/>
      <c r="I526" s="2"/>
      <c r="J526" s="2"/>
      <c r="K526" s="2"/>
      <c r="L526"/>
      <c r="M526" s="7"/>
    </row>
    <row r="527" customFormat="1" spans="1:13">
      <c r="A527" s="2"/>
      <c r="B527" s="2"/>
      <c r="C527" s="2"/>
      <c r="D527" s="2"/>
      <c r="E527" s="2" t="s">
        <v>48</v>
      </c>
      <c r="F527" s="2"/>
      <c r="G527" s="2"/>
      <c r="H527" s="2"/>
      <c r="I527" s="2"/>
      <c r="J527" s="2"/>
      <c r="K527" s="2"/>
      <c r="L527"/>
      <c r="M527" s="7"/>
    </row>
    <row r="528" customFormat="1" spans="1: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/>
      <c r="M528" s="7"/>
    </row>
    <row r="529" customFormat="1" spans="1:14">
      <c r="A529" s="2" t="s">
        <v>231</v>
      </c>
      <c r="B529" s="2" t="s">
        <v>232</v>
      </c>
      <c r="C529" s="2"/>
      <c r="D529" s="2"/>
      <c r="E529" s="2" t="s">
        <v>34</v>
      </c>
      <c r="F529" s="2"/>
      <c r="G529"/>
      <c r="H529" s="8" t="s">
        <v>149</v>
      </c>
      <c r="K529" s="2"/>
    </row>
    <row r="530" customFormat="1" spans="1:14">
      <c r="A530" s="2"/>
      <c r="B530" s="2"/>
      <c r="C530" s="2"/>
      <c r="D530" s="2"/>
      <c r="E530" s="2" t="s">
        <v>36</v>
      </c>
      <c r="F530" s="2"/>
      <c r="G530"/>
      <c r="H530" s="8" t="s">
        <v>150</v>
      </c>
      <c r="K530" s="2"/>
    </row>
    <row r="531" customFormat="1" spans="1:14">
      <c r="A531" s="2"/>
      <c r="B531" s="2"/>
      <c r="C531" s="2"/>
      <c r="D531" s="2"/>
      <c r="E531" s="2" t="s">
        <v>37</v>
      </c>
      <c r="F531" s="2"/>
      <c r="G531"/>
      <c r="H531" s="8" t="s">
        <v>151</v>
      </c>
      <c r="K531" s="2"/>
    </row>
    <row r="532" customFormat="1" spans="1:14">
      <c r="A532" s="2"/>
      <c r="B532" s="2"/>
      <c r="C532" s="2"/>
      <c r="D532" s="2"/>
      <c r="E532" s="2" t="s">
        <v>38</v>
      </c>
      <c r="F532" s="2"/>
      <c r="G532"/>
      <c r="H532" s="8" t="s">
        <v>152</v>
      </c>
      <c r="K532" s="2"/>
    </row>
    <row r="533" customFormat="1" spans="1:14">
      <c r="A533" s="2"/>
      <c r="B533" s="2"/>
      <c r="C533" s="2"/>
      <c r="D533" s="2"/>
      <c r="E533" s="2" t="s">
        <v>39</v>
      </c>
      <c r="F533" s="2"/>
      <c r="G533"/>
      <c r="H533" s="8" t="s">
        <v>153</v>
      </c>
      <c r="K533" s="2"/>
    </row>
    <row r="534" customFormat="1" spans="1:14">
      <c r="A534" s="2"/>
      <c r="B534" s="2"/>
      <c r="C534" s="2"/>
      <c r="D534" s="2"/>
      <c r="E534" s="2" t="s">
        <v>41</v>
      </c>
      <c r="F534" s="2"/>
      <c r="G534"/>
      <c r="H534" s="8" t="s">
        <v>154</v>
      </c>
      <c r="K534" s="2"/>
    </row>
    <row r="535" customFormat="1" spans="1:14">
      <c r="A535" s="2"/>
      <c r="B535" s="2"/>
      <c r="C535" s="2"/>
      <c r="D535" s="2"/>
      <c r="E535" s="2" t="s">
        <v>42</v>
      </c>
      <c r="F535" s="2"/>
      <c r="G535"/>
      <c r="H535" s="8" t="s">
        <v>155</v>
      </c>
      <c r="K535" s="2"/>
    </row>
    <row r="536" customFormat="1" spans="1:14">
      <c r="A536" s="2"/>
      <c r="B536" s="2"/>
      <c r="C536" s="2"/>
      <c r="D536" s="2"/>
      <c r="E536" s="2" t="s">
        <v>43</v>
      </c>
      <c r="F536" s="2"/>
      <c r="G536"/>
      <c r="H536" s="8" t="s">
        <v>156</v>
      </c>
      <c r="K536" s="2"/>
    </row>
    <row r="537" customFormat="1" spans="1:14">
      <c r="A537" s="2"/>
      <c r="B537" s="2"/>
      <c r="C537" s="2"/>
      <c r="D537" s="2"/>
      <c r="E537" s="2" t="s">
        <v>44</v>
      </c>
      <c r="F537" s="2"/>
      <c r="G537"/>
      <c r="H537" s="8" t="s">
        <v>157</v>
      </c>
      <c r="K537" s="2"/>
    </row>
    <row r="538" customFormat="1" spans="1:14">
      <c r="A538" s="2"/>
      <c r="B538" s="2"/>
      <c r="C538" s="2"/>
      <c r="D538" s="2"/>
      <c r="E538" s="2" t="s">
        <v>45</v>
      </c>
      <c r="F538" s="2"/>
      <c r="G538"/>
      <c r="H538" s="8" t="s">
        <v>158</v>
      </c>
      <c r="K538" s="2"/>
      <c r="N538" t="s">
        <v>233</v>
      </c>
    </row>
    <row r="539" customFormat="1" spans="1:14">
      <c r="A539" s="2"/>
      <c r="B539" s="2"/>
      <c r="C539" s="2"/>
      <c r="D539" s="2"/>
      <c r="E539" s="2" t="s">
        <v>47</v>
      </c>
      <c r="F539" s="2"/>
      <c r="G539"/>
      <c r="H539" s="8" t="s">
        <v>160</v>
      </c>
      <c r="K539" s="2"/>
    </row>
    <row r="540" customFormat="1" spans="1:14">
      <c r="A540" s="2"/>
      <c r="B540" s="2"/>
      <c r="C540" s="2"/>
      <c r="D540" s="2"/>
      <c r="E540" s="2" t="s">
        <v>48</v>
      </c>
      <c r="F540" s="2"/>
      <c r="G540"/>
      <c r="H540" s="8" t="s">
        <v>161</v>
      </c>
      <c r="K540" s="2"/>
    </row>
    <row r="541" customFormat="1" spans="1:14">
      <c r="A541" s="2"/>
      <c r="B541" s="2"/>
      <c r="C541" s="2"/>
      <c r="D541" s="2"/>
      <c r="E541" s="2" t="s">
        <v>49</v>
      </c>
      <c r="F541" s="2"/>
      <c r="G541"/>
      <c r="H541" s="8" t="s">
        <v>162</v>
      </c>
      <c r="K541" s="2"/>
    </row>
    <row r="542" customFormat="1" spans="1:14">
      <c r="A542" s="2"/>
      <c r="B542" s="2"/>
      <c r="C542" s="2"/>
      <c r="D542" s="2"/>
      <c r="E542" s="2" t="s">
        <v>50</v>
      </c>
      <c r="F542" s="2"/>
      <c r="G542"/>
      <c r="H542" s="8" t="s">
        <v>163</v>
      </c>
      <c r="K542" s="2"/>
    </row>
    <row r="543" customFormat="1" spans="1:14">
      <c r="A543" s="2"/>
      <c r="B543" s="2"/>
      <c r="C543" s="2"/>
      <c r="D543" s="2"/>
      <c r="E543" s="2" t="s">
        <v>51</v>
      </c>
      <c r="F543" s="2"/>
      <c r="G543"/>
      <c r="H543" s="8" t="s">
        <v>164</v>
      </c>
      <c r="K543" s="2"/>
    </row>
    <row r="544" customFormat="1" spans="1:14">
      <c r="A544" s="2"/>
      <c r="B544" s="2"/>
      <c r="C544" s="2"/>
      <c r="D544" s="2"/>
      <c r="E544" s="2" t="s">
        <v>53</v>
      </c>
      <c r="F544" s="2"/>
      <c r="G544"/>
      <c r="H544" s="8" t="s">
        <v>165</v>
      </c>
      <c r="K544" s="2"/>
    </row>
    <row r="545" customFormat="1" spans="1:14">
      <c r="A545" s="2"/>
      <c r="B545" s="2"/>
      <c r="C545" s="2"/>
      <c r="D545" s="2"/>
      <c r="E545" s="2" t="s">
        <v>54</v>
      </c>
      <c r="F545" s="2"/>
      <c r="G545"/>
      <c r="H545" s="8" t="s">
        <v>166</v>
      </c>
      <c r="K545" s="2"/>
    </row>
    <row r="546" customFormat="1" spans="1:14">
      <c r="A546" s="2"/>
      <c r="B546" s="2"/>
      <c r="C546" s="2"/>
      <c r="D546" s="2"/>
      <c r="E546" s="2" t="s">
        <v>55</v>
      </c>
      <c r="F546" s="2"/>
      <c r="G546"/>
      <c r="H546" s="8" t="s">
        <v>167</v>
      </c>
      <c r="K546" s="2"/>
    </row>
    <row r="547" customFormat="1" spans="1:14">
      <c r="A547" s="2"/>
      <c r="B547" s="2"/>
      <c r="C547" s="2"/>
      <c r="D547" s="2"/>
      <c r="E547" s="2" t="s">
        <v>56</v>
      </c>
      <c r="F547" s="2"/>
      <c r="G547"/>
      <c r="H547" s="8" t="s">
        <v>168</v>
      </c>
      <c r="K547" s="2"/>
    </row>
    <row r="548" customFormat="1" spans="1:14">
      <c r="A548" s="2"/>
      <c r="B548" s="2"/>
      <c r="C548" s="2"/>
      <c r="D548" s="2"/>
      <c r="E548" s="2" t="s">
        <v>57</v>
      </c>
      <c r="F548" s="2"/>
      <c r="G548"/>
      <c r="H548" s="8" t="s">
        <v>169</v>
      </c>
      <c r="K548" s="2"/>
      <c r="N548" t="s">
        <v>234</v>
      </c>
    </row>
    <row r="549" customFormat="1" spans="1:14">
      <c r="A549" s="2"/>
      <c r="B549" s="2"/>
      <c r="C549" s="2"/>
      <c r="D549" s="2"/>
      <c r="E549" s="2" t="s">
        <v>59</v>
      </c>
      <c r="F549" s="2"/>
      <c r="G549"/>
      <c r="H549" s="8" t="s">
        <v>171</v>
      </c>
      <c r="K549" s="2"/>
    </row>
    <row r="550" customFormat="1" spans="1:14">
      <c r="A550" s="2"/>
      <c r="B550" s="2"/>
      <c r="C550" s="2"/>
      <c r="D550" s="2"/>
      <c r="E550" s="2" t="s">
        <v>60</v>
      </c>
      <c r="F550" s="2"/>
      <c r="G550"/>
      <c r="H550" s="8" t="s">
        <v>172</v>
      </c>
      <c r="K550" s="2"/>
    </row>
    <row r="551" customFormat="1" spans="1:14">
      <c r="A551" s="2"/>
      <c r="B551" s="2"/>
      <c r="C551" s="2"/>
      <c r="D551" s="2"/>
      <c r="E551" s="2" t="s">
        <v>61</v>
      </c>
      <c r="F551" s="2"/>
      <c r="G551"/>
      <c r="H551" s="8" t="s">
        <v>173</v>
      </c>
      <c r="K551" s="2"/>
    </row>
    <row r="552" customFormat="1" spans="1:14">
      <c r="A552" s="2"/>
      <c r="B552" s="2"/>
      <c r="C552" s="2"/>
      <c r="D552" s="2"/>
      <c r="E552" s="2" t="s">
        <v>62</v>
      </c>
      <c r="F552" s="2"/>
      <c r="G552"/>
      <c r="H552" s="8" t="s">
        <v>174</v>
      </c>
      <c r="K552" s="2"/>
    </row>
    <row r="553" customFormat="1" spans="1:14">
      <c r="A553" s="2"/>
      <c r="B553" s="2"/>
      <c r="C553" s="2"/>
      <c r="D553" s="2"/>
      <c r="E553" s="2" t="s">
        <v>63</v>
      </c>
      <c r="F553" s="2"/>
      <c r="G553"/>
      <c r="H553" s="8" t="s">
        <v>175</v>
      </c>
      <c r="K553" s="2"/>
    </row>
    <row r="554" customFormat="1" spans="1:14">
      <c r="A554" s="2"/>
      <c r="B554" s="2"/>
      <c r="C554" s="2"/>
      <c r="D554" s="2"/>
      <c r="E554" s="2" t="s">
        <v>65</v>
      </c>
      <c r="F554" s="2"/>
      <c r="G554"/>
      <c r="H554" s="8" t="s">
        <v>176</v>
      </c>
      <c r="I554" s="2"/>
      <c r="J554" s="2"/>
      <c r="K554" s="2"/>
    </row>
    <row r="555" customFormat="1" spans="1:14">
      <c r="A555" s="2"/>
      <c r="B555" s="2"/>
      <c r="C555" s="2"/>
      <c r="D555" s="2"/>
      <c r="E555" s="2" t="s">
        <v>66</v>
      </c>
      <c r="F555" s="2"/>
      <c r="G555"/>
      <c r="H555" s="8" t="s">
        <v>177</v>
      </c>
      <c r="I555" s="2"/>
      <c r="J555" s="2"/>
      <c r="K555" s="2"/>
      <c r="L555"/>
      <c r="M555" s="7"/>
    </row>
    <row r="556" customFormat="1" spans="1:14">
      <c r="A556" s="2"/>
      <c r="B556" s="2"/>
      <c r="C556" s="2"/>
      <c r="D556" s="2"/>
      <c r="E556" s="2" t="s">
        <v>67</v>
      </c>
      <c r="F556" s="2"/>
      <c r="G556"/>
      <c r="H556" s="8" t="s">
        <v>178</v>
      </c>
      <c r="I556" s="2"/>
      <c r="J556" s="2"/>
      <c r="K556" s="2"/>
      <c r="L556"/>
      <c r="M556" s="7"/>
    </row>
    <row r="557" customFormat="1" spans="1:14">
      <c r="A557" s="2"/>
      <c r="B557" s="2"/>
      <c r="C557" s="2"/>
      <c r="D557" s="2"/>
      <c r="E557" s="2" t="s">
        <v>68</v>
      </c>
      <c r="F557" s="2"/>
      <c r="G557"/>
      <c r="H557" s="8" t="s">
        <v>179</v>
      </c>
      <c r="I557" s="2"/>
      <c r="J557" s="2"/>
      <c r="K557" s="2"/>
      <c r="L557"/>
      <c r="M557" s="7"/>
    </row>
    <row r="558" customFormat="1" spans="1:14">
      <c r="A558" s="2"/>
      <c r="B558" s="2"/>
      <c r="C558" s="2"/>
      <c r="D558" s="2"/>
      <c r="E558" s="2" t="s">
        <v>69</v>
      </c>
      <c r="F558" s="2"/>
      <c r="G558"/>
      <c r="H558" s="8" t="s">
        <v>180</v>
      </c>
      <c r="I558" s="2"/>
      <c r="J558" s="2"/>
      <c r="K558" s="2"/>
      <c r="L558"/>
      <c r="M558" s="7"/>
      <c r="N558" t="s">
        <v>235</v>
      </c>
    </row>
    <row r="559" customFormat="1" spans="1:14">
      <c r="A559" s="2"/>
      <c r="B559" s="2"/>
      <c r="C559" s="2"/>
      <c r="D559" s="2"/>
      <c r="E559" s="2" t="s">
        <v>71</v>
      </c>
      <c r="F559" s="2"/>
      <c r="G559"/>
      <c r="H559" s="8" t="s">
        <v>181</v>
      </c>
      <c r="I559" s="2"/>
      <c r="J559" s="2"/>
      <c r="K559" s="2"/>
      <c r="L559"/>
      <c r="M559" s="7"/>
    </row>
    <row r="560" customFormat="1" spans="1:14">
      <c r="A560" s="2"/>
      <c r="B560" s="2"/>
      <c r="C560" s="2"/>
      <c r="D560" s="2"/>
      <c r="E560" s="2" t="s">
        <v>72</v>
      </c>
      <c r="F560" s="2"/>
      <c r="G560"/>
      <c r="H560" s="8" t="s">
        <v>182</v>
      </c>
      <c r="I560" s="2"/>
      <c r="J560" s="2"/>
      <c r="K560" s="2"/>
      <c r="L560"/>
      <c r="M560" s="7"/>
    </row>
    <row r="561" customFormat="1" spans="1:14">
      <c r="A561" s="2"/>
      <c r="B561" s="2"/>
      <c r="C561" s="2"/>
      <c r="D561" s="2"/>
      <c r="E561" s="2" t="s">
        <v>73</v>
      </c>
      <c r="F561" s="2"/>
      <c r="G561"/>
      <c r="H561" s="8" t="s">
        <v>183</v>
      </c>
      <c r="I561" s="2"/>
      <c r="J561" s="2"/>
      <c r="K561" s="2"/>
      <c r="L561"/>
      <c r="M561" s="7"/>
    </row>
    <row r="562" customFormat="1" spans="1:14">
      <c r="A562" s="2"/>
      <c r="B562" s="2"/>
      <c r="C562" s="2"/>
      <c r="D562" s="2"/>
      <c r="E562" s="2" t="s">
        <v>74</v>
      </c>
      <c r="F562" s="2"/>
      <c r="G562"/>
      <c r="H562" s="8" t="s">
        <v>184</v>
      </c>
      <c r="I562" s="2"/>
      <c r="J562" s="2"/>
      <c r="K562" s="2"/>
      <c r="L562"/>
      <c r="M562" s="7"/>
    </row>
    <row r="563" customFormat="1" spans="1:14">
      <c r="A563" s="2"/>
      <c r="B563" s="2"/>
      <c r="C563" s="2"/>
      <c r="D563" s="2"/>
      <c r="E563" s="2" t="s">
        <v>75</v>
      </c>
      <c r="F563" s="2"/>
      <c r="G563"/>
      <c r="H563" s="8" t="s">
        <v>185</v>
      </c>
      <c r="I563" s="2"/>
      <c r="J563" s="2"/>
      <c r="K563" s="2"/>
      <c r="L563"/>
      <c r="M563" s="7"/>
    </row>
    <row r="564" customFormat="1" spans="1:14">
      <c r="A564" s="2"/>
      <c r="B564" s="2"/>
      <c r="C564" s="2"/>
      <c r="D564" s="2"/>
      <c r="E564" s="2" t="s">
        <v>77</v>
      </c>
      <c r="F564" s="2"/>
      <c r="G564"/>
      <c r="H564" s="8" t="s">
        <v>186</v>
      </c>
      <c r="I564" s="2"/>
      <c r="J564" s="2"/>
      <c r="K564" s="2"/>
      <c r="L564"/>
      <c r="M564" s="7"/>
    </row>
    <row r="565" customFormat="1" spans="1:14">
      <c r="A565" s="2"/>
      <c r="B565" s="2"/>
      <c r="C565" s="2"/>
      <c r="D565" s="2"/>
      <c r="E565" s="2" t="s">
        <v>78</v>
      </c>
      <c r="F565" s="2"/>
      <c r="G565"/>
      <c r="H565" s="8" t="s">
        <v>187</v>
      </c>
      <c r="I565" s="2"/>
      <c r="J565" s="2"/>
      <c r="K565" s="2"/>
      <c r="L565" s="2"/>
      <c r="M565" s="7"/>
    </row>
    <row r="566" customFormat="1" spans="1:14">
      <c r="A566" s="2"/>
      <c r="B566" s="2"/>
      <c r="C566" s="2"/>
      <c r="D566" s="2"/>
      <c r="E566" s="2" t="s">
        <v>79</v>
      </c>
      <c r="F566" s="2"/>
      <c r="G566"/>
      <c r="H566" s="8" t="s">
        <v>188</v>
      </c>
      <c r="I566" s="2"/>
      <c r="J566" s="2"/>
      <c r="K566" s="2"/>
      <c r="L566"/>
      <c r="M566" s="7"/>
    </row>
    <row r="567" customFormat="1" spans="1:14">
      <c r="A567" s="2"/>
      <c r="B567" s="2"/>
      <c r="C567" s="2"/>
      <c r="D567" s="2"/>
      <c r="E567" s="2" t="s">
        <v>80</v>
      </c>
      <c r="F567" s="2"/>
      <c r="G567"/>
      <c r="H567" s="8" t="s">
        <v>189</v>
      </c>
      <c r="I567" s="2"/>
      <c r="J567" s="2"/>
      <c r="K567" s="2"/>
      <c r="L567"/>
      <c r="M567" s="7"/>
    </row>
    <row r="568" customFormat="1" spans="1:14">
      <c r="A568" s="2"/>
      <c r="B568" s="2"/>
      <c r="C568" s="2"/>
      <c r="D568" s="2"/>
      <c r="E568" s="2" t="s">
        <v>81</v>
      </c>
      <c r="F568" s="2"/>
      <c r="G568"/>
      <c r="H568" s="8" t="s">
        <v>190</v>
      </c>
      <c r="I568" s="2"/>
      <c r="J568" s="2"/>
      <c r="K568" s="2"/>
      <c r="L568"/>
      <c r="M568" s="7"/>
      <c r="N568" t="s">
        <v>236</v>
      </c>
    </row>
    <row r="569" customFormat="1" spans="1:14">
      <c r="A569" s="2"/>
      <c r="B569" s="2"/>
      <c r="C569" s="2"/>
      <c r="D569" s="2"/>
      <c r="E569" s="2" t="s">
        <v>84</v>
      </c>
      <c r="F569" s="2"/>
      <c r="G569" s="2"/>
      <c r="H569" s="8" t="s">
        <v>192</v>
      </c>
      <c r="I569" s="2"/>
      <c r="J569" s="2"/>
      <c r="K569" s="2"/>
      <c r="M569" s="7"/>
    </row>
    <row r="570" customFormat="1" spans="1:14">
      <c r="A570" s="2"/>
      <c r="B570" s="2"/>
      <c r="C570" s="2"/>
      <c r="D570" s="2"/>
      <c r="E570" s="2" t="s">
        <v>85</v>
      </c>
      <c r="F570" s="2"/>
      <c r="G570" s="2"/>
      <c r="H570" s="8" t="s">
        <v>193</v>
      </c>
      <c r="I570" s="2"/>
      <c r="J570" s="2"/>
      <c r="K570" s="2"/>
      <c r="M570" s="7"/>
    </row>
    <row r="571" customFormat="1" spans="1:14">
      <c r="A571" s="2"/>
      <c r="B571" s="2"/>
      <c r="C571" s="2"/>
      <c r="D571" s="2"/>
      <c r="E571" s="2" t="s">
        <v>86</v>
      </c>
      <c r="F571" s="2"/>
      <c r="G571" s="2"/>
      <c r="H571" s="8" t="s">
        <v>194</v>
      </c>
      <c r="I571" s="2"/>
      <c r="J571" s="2"/>
      <c r="K571" s="2"/>
      <c r="M571" s="7"/>
    </row>
    <row r="572" customFormat="1" spans="1:14">
      <c r="A572" s="2"/>
      <c r="B572" s="2"/>
      <c r="C572" s="2"/>
      <c r="D572" s="2"/>
      <c r="E572" s="2" t="s">
        <v>87</v>
      </c>
      <c r="F572" s="2"/>
      <c r="G572" s="2"/>
      <c r="H572" s="8" t="s">
        <v>195</v>
      </c>
      <c r="I572" s="2"/>
      <c r="J572" s="2"/>
      <c r="K572" s="2"/>
      <c r="M572" s="7"/>
    </row>
    <row r="573" customFormat="1" spans="1:14">
      <c r="A573" s="2"/>
      <c r="B573" s="2"/>
      <c r="C573" s="2"/>
      <c r="D573" s="2"/>
      <c r="E573" s="2" t="s">
        <v>88</v>
      </c>
      <c r="F573" s="2"/>
      <c r="G573" s="2"/>
      <c r="H573" s="8" t="s">
        <v>196</v>
      </c>
      <c r="I573" s="2"/>
      <c r="J573" s="2"/>
      <c r="K573" s="2"/>
      <c r="M573" s="7"/>
    </row>
    <row r="574" customFormat="1" spans="1:14">
      <c r="A574" s="2"/>
      <c r="B574" s="2"/>
      <c r="C574" s="2"/>
      <c r="D574" s="2"/>
      <c r="E574" s="2" t="s">
        <v>90</v>
      </c>
      <c r="F574" s="2"/>
      <c r="G574" s="2"/>
      <c r="H574" s="8" t="s">
        <v>197</v>
      </c>
      <c r="I574" s="2"/>
      <c r="J574" s="2"/>
      <c r="K574" s="2"/>
      <c r="M574" s="7"/>
    </row>
    <row r="575" customFormat="1" spans="1:14">
      <c r="A575" s="2"/>
      <c r="B575" s="2"/>
      <c r="C575" s="2"/>
      <c r="D575" s="2"/>
      <c r="E575" s="2" t="s">
        <v>91</v>
      </c>
      <c r="F575" s="2"/>
      <c r="G575" s="2"/>
      <c r="H575" s="8" t="s">
        <v>198</v>
      </c>
      <c r="I575" s="2"/>
      <c r="J575" s="2"/>
      <c r="K575" s="2"/>
      <c r="M575" s="7"/>
    </row>
    <row r="576" customFormat="1" spans="1:14">
      <c r="A576" s="2"/>
      <c r="B576" s="2"/>
      <c r="C576" s="2"/>
      <c r="D576" s="2"/>
      <c r="E576" s="2" t="s">
        <v>92</v>
      </c>
      <c r="F576" s="2"/>
      <c r="G576" s="2"/>
      <c r="H576" s="8" t="s">
        <v>199</v>
      </c>
      <c r="I576" s="2"/>
      <c r="J576" s="2"/>
      <c r="K576" s="2"/>
      <c r="M576" s="7"/>
    </row>
    <row r="577" customFormat="1" spans="1:14">
      <c r="A577" s="2"/>
      <c r="B577" s="2"/>
      <c r="C577" s="2"/>
      <c r="D577" s="2"/>
      <c r="E577" s="2" t="s">
        <v>93</v>
      </c>
      <c r="F577" s="2"/>
      <c r="G577" s="2"/>
      <c r="H577" s="8" t="s">
        <v>200</v>
      </c>
      <c r="I577" s="2"/>
      <c r="J577" s="2"/>
      <c r="K577" s="2"/>
      <c r="M577" s="7"/>
    </row>
    <row r="578" customFormat="1" spans="1:14">
      <c r="A578" s="2"/>
      <c r="B578" s="2"/>
      <c r="C578" s="2"/>
      <c r="D578" s="2"/>
      <c r="E578" s="2" t="s">
        <v>94</v>
      </c>
      <c r="F578" s="2"/>
      <c r="G578" s="2"/>
      <c r="H578" s="2"/>
      <c r="I578" s="2"/>
      <c r="J578" s="2"/>
      <c r="K578" s="2"/>
      <c r="M578" s="7"/>
    </row>
    <row r="579" customFormat="1" spans="1:1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/>
      <c r="M579" s="7"/>
    </row>
    <row r="580" spans="1:14">
      <c r="A580" s="2" t="s">
        <v>237</v>
      </c>
      <c r="B580" s="2" t="s">
        <v>238</v>
      </c>
      <c r="E580" s="2" t="s">
        <v>34</v>
      </c>
      <c r="G580"/>
      <c r="H580" s="8" t="s">
        <v>149</v>
      </c>
      <c r="I580"/>
      <c r="J580"/>
      <c r="L580"/>
      <c r="N580"/>
    </row>
    <row r="581" spans="1:14">
      <c r="A581" s="2" t="s">
        <v>239</v>
      </c>
      <c r="E581" s="2" t="s">
        <v>36</v>
      </c>
      <c r="G581"/>
      <c r="H581" s="8" t="s">
        <v>150</v>
      </c>
      <c r="I581"/>
      <c r="J581"/>
      <c r="L581"/>
      <c r="N581"/>
    </row>
    <row r="582" spans="1:14">
      <c r="E582" s="2" t="s">
        <v>37</v>
      </c>
      <c r="G582"/>
      <c r="H582" s="8" t="s">
        <v>151</v>
      </c>
      <c r="I582"/>
      <c r="J582"/>
      <c r="L582"/>
      <c r="N582"/>
    </row>
    <row r="583" spans="1:14">
      <c r="E583" s="2" t="s">
        <v>38</v>
      </c>
      <c r="G583"/>
      <c r="H583" s="8" t="s">
        <v>152</v>
      </c>
      <c r="I583"/>
      <c r="J583"/>
      <c r="L583"/>
      <c r="N583"/>
    </row>
    <row r="584" spans="1:14">
      <c r="E584" s="2" t="s">
        <v>39</v>
      </c>
      <c r="G584"/>
      <c r="H584" s="8" t="s">
        <v>153</v>
      </c>
      <c r="I584"/>
      <c r="J584"/>
      <c r="L584"/>
      <c r="N584"/>
    </row>
    <row r="585" spans="1:14">
      <c r="E585" s="2" t="s">
        <v>41</v>
      </c>
      <c r="G585"/>
      <c r="H585" s="8" t="s">
        <v>154</v>
      </c>
      <c r="I585"/>
      <c r="J585"/>
      <c r="L585"/>
      <c r="N585"/>
    </row>
    <row r="586" spans="1:14">
      <c r="E586" s="2" t="s">
        <v>42</v>
      </c>
      <c r="G586"/>
      <c r="H586" s="8" t="s">
        <v>155</v>
      </c>
      <c r="I586"/>
      <c r="J586"/>
      <c r="L586"/>
      <c r="N586"/>
    </row>
    <row r="587" spans="1:14">
      <c r="E587" s="2" t="s">
        <v>43</v>
      </c>
      <c r="G587"/>
      <c r="H587" s="8" t="s">
        <v>156</v>
      </c>
      <c r="I587"/>
      <c r="J587"/>
      <c r="L587"/>
      <c r="N587"/>
    </row>
    <row r="588" spans="1:14">
      <c r="E588" s="2" t="s">
        <v>44</v>
      </c>
      <c r="G588"/>
      <c r="H588" s="8" t="s">
        <v>157</v>
      </c>
      <c r="I588"/>
      <c r="J588"/>
      <c r="L588"/>
      <c r="N588"/>
    </row>
    <row r="589" spans="1:14">
      <c r="E589" s="2" t="s">
        <v>45</v>
      </c>
      <c r="G589"/>
      <c r="H589" s="8" t="s">
        <v>158</v>
      </c>
      <c r="I589"/>
      <c r="J589"/>
      <c r="L589"/>
      <c r="N589" t="s">
        <v>240</v>
      </c>
    </row>
    <row r="590" spans="1:14">
      <c r="E590" s="2" t="s">
        <v>47</v>
      </c>
      <c r="G590"/>
      <c r="H590" s="8" t="s">
        <v>160</v>
      </c>
      <c r="I590"/>
      <c r="J590"/>
      <c r="L590"/>
      <c r="N590"/>
    </row>
    <row r="591" spans="1:14">
      <c r="E591" s="2" t="s">
        <v>48</v>
      </c>
      <c r="G591"/>
      <c r="H591" s="8" t="s">
        <v>161</v>
      </c>
      <c r="I591"/>
      <c r="J591"/>
      <c r="L591"/>
      <c r="N591"/>
    </row>
    <row r="592" spans="1:14">
      <c r="E592" s="2" t="s">
        <v>49</v>
      </c>
      <c r="G592"/>
      <c r="H592" s="8" t="s">
        <v>162</v>
      </c>
      <c r="I592"/>
      <c r="J592"/>
      <c r="L592"/>
      <c r="N592"/>
    </row>
    <row r="593" spans="1:14">
      <c r="E593" s="2" t="s">
        <v>50</v>
      </c>
      <c r="G593"/>
      <c r="H593" s="8" t="s">
        <v>163</v>
      </c>
      <c r="I593"/>
      <c r="J593"/>
      <c r="L593"/>
      <c r="N593"/>
    </row>
    <row r="594" spans="1:14">
      <c r="E594" s="2" t="s">
        <v>51</v>
      </c>
      <c r="G594"/>
      <c r="H594" s="8" t="s">
        <v>164</v>
      </c>
      <c r="I594"/>
      <c r="J594"/>
      <c r="L594"/>
      <c r="N594"/>
    </row>
    <row r="595" spans="1:14">
      <c r="E595" s="2" t="s">
        <v>53</v>
      </c>
      <c r="G595"/>
      <c r="H595" s="8" t="s">
        <v>165</v>
      </c>
      <c r="I595"/>
      <c r="J595"/>
      <c r="L595"/>
      <c r="N595"/>
    </row>
    <row r="596" spans="1:14">
      <c r="E596" s="2" t="s">
        <v>54</v>
      </c>
      <c r="G596"/>
      <c r="H596" s="8" t="s">
        <v>166</v>
      </c>
      <c r="I596"/>
      <c r="J596"/>
      <c r="L596"/>
      <c r="N596"/>
    </row>
    <row r="597" spans="1:14">
      <c r="E597" s="2" t="s">
        <v>55</v>
      </c>
      <c r="G597"/>
      <c r="H597" s="8" t="s">
        <v>167</v>
      </c>
      <c r="I597"/>
      <c r="J597"/>
      <c r="L597"/>
      <c r="N597"/>
    </row>
    <row r="598" spans="1:14">
      <c r="E598" s="2" t="s">
        <v>56</v>
      </c>
      <c r="G598"/>
      <c r="H598" s="8" t="s">
        <v>168</v>
      </c>
      <c r="I598"/>
      <c r="J598"/>
      <c r="L598"/>
      <c r="N598"/>
    </row>
    <row r="599" spans="1:14">
      <c r="E599" s="2" t="s">
        <v>57</v>
      </c>
      <c r="G599"/>
      <c r="H599" s="8" t="s">
        <v>169</v>
      </c>
      <c r="I599"/>
      <c r="J599"/>
      <c r="L599"/>
      <c r="N599" t="s">
        <v>241</v>
      </c>
    </row>
    <row r="600" spans="1:14">
      <c r="E600" s="2" t="s">
        <v>59</v>
      </c>
      <c r="G600"/>
      <c r="H600" s="8" t="s">
        <v>171</v>
      </c>
      <c r="I600"/>
      <c r="J600"/>
      <c r="L600"/>
      <c r="N600"/>
    </row>
    <row r="601" spans="1:14">
      <c r="E601" s="2" t="s">
        <v>60</v>
      </c>
      <c r="G601"/>
      <c r="H601" s="8" t="s">
        <v>172</v>
      </c>
      <c r="I601"/>
      <c r="J601"/>
      <c r="L601"/>
      <c r="N601"/>
    </row>
    <row r="602" spans="1:14">
      <c r="E602" s="2" t="s">
        <v>61</v>
      </c>
      <c r="G602"/>
      <c r="H602" s="8" t="s">
        <v>173</v>
      </c>
      <c r="I602"/>
      <c r="J602"/>
      <c r="L602"/>
      <c r="N602"/>
    </row>
    <row r="603" spans="1:14">
      <c r="E603" s="2" t="s">
        <v>62</v>
      </c>
      <c r="G603"/>
      <c r="H603" s="8" t="s">
        <v>174</v>
      </c>
      <c r="I603"/>
      <c r="J603"/>
      <c r="L603"/>
      <c r="N603"/>
    </row>
    <row r="604" spans="1:14">
      <c r="E604" s="2" t="s">
        <v>63</v>
      </c>
      <c r="G604"/>
      <c r="H604" s="8" t="s">
        <v>175</v>
      </c>
      <c r="I604"/>
      <c r="J604"/>
      <c r="L604"/>
      <c r="N604"/>
    </row>
    <row r="605" customFormat="1" spans="1:14">
      <c r="A605" s="2"/>
      <c r="B605" s="2"/>
      <c r="C605" s="2"/>
      <c r="D605" s="2"/>
      <c r="E605" s="2" t="s">
        <v>65</v>
      </c>
      <c r="F605" s="2"/>
      <c r="G605"/>
      <c r="H605" s="8" t="s">
        <v>176</v>
      </c>
      <c r="I605" s="2"/>
      <c r="J605" s="2"/>
      <c r="K605" s="2"/>
    </row>
    <row r="606" customFormat="1" spans="1:14">
      <c r="A606" s="2"/>
      <c r="B606" s="2"/>
      <c r="C606" s="2"/>
      <c r="D606" s="2"/>
      <c r="E606" s="2" t="s">
        <v>66</v>
      </c>
      <c r="F606" s="2"/>
      <c r="G606"/>
      <c r="H606" s="8" t="s">
        <v>177</v>
      </c>
      <c r="I606" s="2"/>
      <c r="J606" s="2"/>
      <c r="K606" s="2"/>
    </row>
    <row r="607" customFormat="1" spans="1:14">
      <c r="A607" s="2"/>
      <c r="B607" s="2"/>
      <c r="C607" s="2"/>
      <c r="D607" s="2"/>
      <c r="E607" s="2" t="s">
        <v>67</v>
      </c>
      <c r="F607" s="2"/>
      <c r="G607"/>
      <c r="H607" s="8" t="s">
        <v>178</v>
      </c>
      <c r="I607" s="2"/>
      <c r="J607" s="2"/>
      <c r="K607" s="2"/>
    </row>
    <row r="608" customFormat="1" spans="1:14">
      <c r="A608" s="2"/>
      <c r="B608" s="2"/>
      <c r="C608" s="2"/>
      <c r="D608" s="2"/>
      <c r="E608" s="2" t="s">
        <v>68</v>
      </c>
      <c r="F608" s="2"/>
      <c r="G608"/>
      <c r="H608" s="8" t="s">
        <v>179</v>
      </c>
      <c r="I608" s="2"/>
      <c r="J608" s="2"/>
      <c r="K608" s="2"/>
    </row>
    <row r="609" customFormat="1" spans="1:14">
      <c r="A609" s="2"/>
      <c r="B609" s="2"/>
      <c r="C609" s="2"/>
      <c r="D609" s="2"/>
      <c r="E609" s="2" t="s">
        <v>69</v>
      </c>
      <c r="F609" s="2"/>
      <c r="G609"/>
      <c r="H609" s="8" t="s">
        <v>180</v>
      </c>
      <c r="I609" s="2"/>
      <c r="J609" s="2"/>
      <c r="K609" s="2"/>
      <c r="L609"/>
      <c r="M609"/>
      <c r="N609" t="s">
        <v>242</v>
      </c>
    </row>
    <row r="610" customFormat="1" spans="1:14">
      <c r="A610" s="2"/>
      <c r="B610" s="2"/>
      <c r="C610" s="2"/>
      <c r="D610" s="2"/>
      <c r="E610" s="2" t="s">
        <v>71</v>
      </c>
      <c r="F610" s="2"/>
      <c r="G610"/>
      <c r="H610" s="8" t="s">
        <v>181</v>
      </c>
      <c r="I610" s="2"/>
      <c r="J610" s="2"/>
      <c r="K610" s="2"/>
    </row>
    <row r="611" customFormat="1" spans="1:14">
      <c r="A611" s="2"/>
      <c r="B611" s="2"/>
      <c r="C611" s="2"/>
      <c r="D611" s="2"/>
      <c r="E611" s="2" t="s">
        <v>72</v>
      </c>
      <c r="F611" s="2"/>
      <c r="G611"/>
      <c r="H611" s="8" t="s">
        <v>182</v>
      </c>
      <c r="I611" s="2"/>
      <c r="J611" s="2"/>
      <c r="K611" s="2"/>
    </row>
    <row r="612" customFormat="1" spans="1:14">
      <c r="A612" s="2"/>
      <c r="B612" s="2"/>
      <c r="C612" s="2"/>
      <c r="D612" s="2"/>
      <c r="E612" s="2" t="s">
        <v>73</v>
      </c>
      <c r="F612" s="2"/>
      <c r="G612"/>
      <c r="H612" s="8" t="s">
        <v>183</v>
      </c>
      <c r="I612" s="2"/>
      <c r="J612" s="2"/>
      <c r="K612" s="2"/>
    </row>
    <row r="613" customFormat="1" spans="1:14">
      <c r="A613" s="2"/>
      <c r="B613" s="2"/>
      <c r="C613" s="2"/>
      <c r="D613" s="2"/>
      <c r="E613" s="2" t="s">
        <v>74</v>
      </c>
      <c r="F613" s="2"/>
      <c r="G613"/>
      <c r="H613" s="8" t="s">
        <v>184</v>
      </c>
      <c r="I613" s="2"/>
      <c r="J613" s="2"/>
      <c r="K613" s="2"/>
      <c r="L613"/>
      <c r="M613" s="7"/>
    </row>
    <row r="614" customFormat="1" spans="1:14">
      <c r="A614" s="2"/>
      <c r="B614" s="2"/>
      <c r="C614" s="2"/>
      <c r="D614" s="2"/>
      <c r="E614" s="2" t="s">
        <v>75</v>
      </c>
      <c r="F614" s="2"/>
      <c r="G614"/>
      <c r="H614" s="8" t="s">
        <v>185</v>
      </c>
      <c r="I614" s="2"/>
      <c r="J614" s="2"/>
      <c r="K614" s="2"/>
      <c r="L614"/>
      <c r="M614" s="7"/>
    </row>
    <row r="615" customFormat="1" spans="1:14">
      <c r="A615" s="2"/>
      <c r="B615" s="2"/>
      <c r="C615" s="2"/>
      <c r="D615" s="2"/>
      <c r="E615" s="2" t="s">
        <v>77</v>
      </c>
      <c r="F615" s="2"/>
      <c r="G615"/>
      <c r="H615" s="8" t="s">
        <v>186</v>
      </c>
      <c r="I615" s="2"/>
      <c r="J615" s="2"/>
      <c r="K615" s="2"/>
      <c r="L615"/>
      <c r="M615" s="7"/>
    </row>
    <row r="616" customFormat="1" spans="1:14">
      <c r="A616" s="2"/>
      <c r="B616" s="2"/>
      <c r="C616" s="2"/>
      <c r="D616" s="2"/>
      <c r="E616" s="2" t="s">
        <v>78</v>
      </c>
      <c r="F616" s="2"/>
      <c r="G616"/>
      <c r="H616" s="8" t="s">
        <v>187</v>
      </c>
      <c r="I616" s="2"/>
      <c r="J616" s="2"/>
      <c r="K616" s="2"/>
      <c r="L616"/>
      <c r="M616" s="7"/>
    </row>
    <row r="617" customFormat="1" spans="1:14">
      <c r="A617" s="2"/>
      <c r="B617" s="2"/>
      <c r="C617" s="2"/>
      <c r="D617" s="2"/>
      <c r="E617" s="2" t="s">
        <v>79</v>
      </c>
      <c r="F617" s="2"/>
      <c r="G617"/>
      <c r="H617" s="8" t="s">
        <v>188</v>
      </c>
      <c r="I617" s="2"/>
      <c r="J617" s="2"/>
      <c r="K617" s="2"/>
      <c r="L617"/>
      <c r="M617" s="7"/>
    </row>
    <row r="618" customFormat="1" spans="1:14">
      <c r="A618" s="2"/>
      <c r="B618" s="2"/>
      <c r="C618" s="2"/>
      <c r="D618" s="2"/>
      <c r="E618" s="2" t="s">
        <v>80</v>
      </c>
      <c r="F618" s="2"/>
      <c r="G618"/>
      <c r="H618" s="8" t="s">
        <v>189</v>
      </c>
      <c r="I618" s="2"/>
      <c r="J618" s="2"/>
      <c r="K618" s="2"/>
      <c r="L618"/>
      <c r="M618" s="7"/>
    </row>
    <row r="619" customFormat="1" spans="1:14">
      <c r="A619" s="2"/>
      <c r="B619" s="2"/>
      <c r="C619" s="2"/>
      <c r="D619" s="2"/>
      <c r="E619" s="2" t="s">
        <v>81</v>
      </c>
      <c r="F619" s="2"/>
      <c r="G619"/>
      <c r="H619" s="8" t="s">
        <v>190</v>
      </c>
      <c r="I619" s="2"/>
      <c r="J619" s="2"/>
      <c r="K619" s="2"/>
      <c r="L619"/>
      <c r="M619" s="7"/>
      <c r="N619" t="s">
        <v>243</v>
      </c>
    </row>
    <row r="620" customFormat="1" spans="1:14">
      <c r="A620" s="2"/>
      <c r="B620" s="2"/>
      <c r="C620" s="2"/>
      <c r="D620" s="2"/>
      <c r="E620" s="2" t="s">
        <v>84</v>
      </c>
      <c r="F620" s="2"/>
      <c r="G620" s="2"/>
      <c r="H620" s="8" t="s">
        <v>192</v>
      </c>
      <c r="I620" s="2"/>
      <c r="J620" s="2"/>
      <c r="K620" s="2"/>
      <c r="M620" s="7"/>
    </row>
    <row r="621" customFormat="1" spans="1:14">
      <c r="A621" s="2"/>
      <c r="B621" s="2"/>
      <c r="C621" s="2"/>
      <c r="D621" s="2"/>
      <c r="E621" s="2" t="s">
        <v>85</v>
      </c>
      <c r="F621" s="2"/>
      <c r="G621" s="2"/>
      <c r="H621" s="8" t="s">
        <v>193</v>
      </c>
      <c r="I621" s="2"/>
      <c r="J621" s="2"/>
      <c r="K621" s="2"/>
      <c r="M621" s="7"/>
    </row>
    <row r="622" customFormat="1" spans="1:14">
      <c r="A622" s="2"/>
      <c r="B622" s="2"/>
      <c r="C622" s="2"/>
      <c r="D622" s="2"/>
      <c r="E622" s="2" t="s">
        <v>86</v>
      </c>
      <c r="F622" s="2"/>
      <c r="G622" s="2"/>
      <c r="H622" s="8" t="s">
        <v>194</v>
      </c>
      <c r="I622" s="2"/>
      <c r="J622" s="2"/>
      <c r="K622" s="2"/>
      <c r="M622" s="7"/>
    </row>
    <row r="623" customFormat="1" spans="1:14">
      <c r="A623" s="2"/>
      <c r="B623" s="2"/>
      <c r="C623" s="2"/>
      <c r="D623" s="2"/>
      <c r="E623" s="2" t="s">
        <v>87</v>
      </c>
      <c r="F623" s="2"/>
      <c r="G623" s="2"/>
      <c r="H623" s="8" t="s">
        <v>195</v>
      </c>
      <c r="I623" s="2"/>
      <c r="J623" s="2"/>
      <c r="K623" s="2"/>
      <c r="M623" s="7"/>
    </row>
    <row r="624" customFormat="1" spans="1:14">
      <c r="A624" s="2"/>
      <c r="B624" s="2"/>
      <c r="C624" s="2"/>
      <c r="D624" s="2"/>
      <c r="E624" s="2" t="s">
        <v>88</v>
      </c>
      <c r="F624" s="2"/>
      <c r="G624" s="2"/>
      <c r="H624" s="8" t="s">
        <v>196</v>
      </c>
      <c r="I624" s="2"/>
      <c r="J624" s="2"/>
      <c r="K624" s="2"/>
      <c r="M624" s="7"/>
    </row>
    <row r="625" customFormat="1" spans="1:14">
      <c r="A625" s="2"/>
      <c r="B625" s="2"/>
      <c r="C625" s="2"/>
      <c r="D625" s="2"/>
      <c r="E625" s="2" t="s">
        <v>90</v>
      </c>
      <c r="F625" s="2"/>
      <c r="G625" s="2"/>
      <c r="H625" s="8" t="s">
        <v>197</v>
      </c>
      <c r="I625" s="2"/>
      <c r="J625" s="2"/>
      <c r="K625" s="2"/>
      <c r="M625" s="7"/>
    </row>
    <row r="626" customFormat="1" spans="1:14">
      <c r="A626" s="2"/>
      <c r="B626" s="2"/>
      <c r="C626" s="2"/>
      <c r="D626" s="2"/>
      <c r="E626" s="2" t="s">
        <v>91</v>
      </c>
      <c r="F626" s="2"/>
      <c r="G626" s="2"/>
      <c r="H626" s="8" t="s">
        <v>198</v>
      </c>
      <c r="I626" s="2"/>
      <c r="J626" s="2"/>
      <c r="K626" s="2"/>
      <c r="M626" s="7"/>
    </row>
    <row r="627" customFormat="1" spans="1:14">
      <c r="A627" s="2"/>
      <c r="B627" s="2"/>
      <c r="C627" s="2"/>
      <c r="D627" s="2"/>
      <c r="E627" s="2" t="s">
        <v>92</v>
      </c>
      <c r="F627" s="2"/>
      <c r="G627" s="2"/>
      <c r="H627" s="8" t="s">
        <v>199</v>
      </c>
      <c r="I627" s="2"/>
      <c r="J627" s="2"/>
      <c r="K627" s="2"/>
      <c r="M627" s="7"/>
    </row>
    <row r="628" customFormat="1" spans="1:14">
      <c r="A628" s="2"/>
      <c r="B628" s="2"/>
      <c r="C628" s="2"/>
      <c r="D628" s="2"/>
      <c r="E628" s="2" t="s">
        <v>93</v>
      </c>
      <c r="F628" s="2"/>
      <c r="G628" s="2"/>
      <c r="H628" s="8" t="s">
        <v>200</v>
      </c>
      <c r="I628" s="2"/>
      <c r="J628" s="2"/>
      <c r="K628" s="2"/>
      <c r="M628" s="7"/>
    </row>
    <row r="629" customFormat="1" spans="1:14">
      <c r="A629" s="2"/>
      <c r="B629" s="2"/>
      <c r="C629" s="2"/>
      <c r="D629" s="2"/>
      <c r="E629" s="2" t="s">
        <v>94</v>
      </c>
      <c r="F629" s="2"/>
      <c r="G629" s="2"/>
      <c r="H629" s="2"/>
      <c r="I629" s="2"/>
      <c r="J629" s="2"/>
      <c r="K629" s="2"/>
      <c r="M629" s="7"/>
    </row>
    <row r="630" customFormat="1" spans="1:1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/>
      <c r="M630" s="7"/>
    </row>
    <row r="631" spans="1:14">
      <c r="A631" s="2" t="s">
        <v>244</v>
      </c>
      <c r="B631" s="2" t="s">
        <v>245</v>
      </c>
      <c r="E631" s="2" t="s">
        <v>34</v>
      </c>
      <c r="G631"/>
      <c r="H631" s="8" t="s">
        <v>149</v>
      </c>
      <c r="I631"/>
      <c r="J631"/>
      <c r="L631"/>
      <c r="N631"/>
    </row>
    <row r="632" spans="1:14">
      <c r="A632" s="2" t="s">
        <v>246</v>
      </c>
      <c r="E632" s="2" t="s">
        <v>36</v>
      </c>
      <c r="G632"/>
      <c r="H632" s="8" t="s">
        <v>150</v>
      </c>
      <c r="I632"/>
      <c r="J632"/>
      <c r="L632"/>
      <c r="N632"/>
    </row>
    <row r="633" spans="1:14">
      <c r="E633" s="2" t="s">
        <v>37</v>
      </c>
      <c r="G633"/>
      <c r="H633" s="8" t="s">
        <v>151</v>
      </c>
      <c r="I633"/>
      <c r="J633"/>
      <c r="L633"/>
      <c r="N633"/>
    </row>
    <row r="634" spans="1:14">
      <c r="E634" s="2" t="s">
        <v>38</v>
      </c>
      <c r="G634"/>
      <c r="H634" s="8" t="s">
        <v>152</v>
      </c>
      <c r="I634"/>
      <c r="J634"/>
      <c r="L634"/>
      <c r="N634"/>
    </row>
    <row r="635" spans="1:14">
      <c r="E635" s="2" t="s">
        <v>39</v>
      </c>
      <c r="G635"/>
      <c r="H635" s="8" t="s">
        <v>153</v>
      </c>
      <c r="I635"/>
      <c r="J635"/>
      <c r="L635"/>
      <c r="N635"/>
    </row>
    <row r="636" spans="1:14">
      <c r="E636" s="2" t="s">
        <v>41</v>
      </c>
      <c r="G636"/>
      <c r="H636" s="8" t="s">
        <v>154</v>
      </c>
      <c r="I636"/>
      <c r="J636"/>
      <c r="L636"/>
      <c r="N636"/>
    </row>
    <row r="637" spans="1:14">
      <c r="E637" s="2" t="s">
        <v>42</v>
      </c>
      <c r="G637"/>
      <c r="H637" s="8" t="s">
        <v>155</v>
      </c>
      <c r="I637"/>
      <c r="J637"/>
      <c r="L637"/>
      <c r="N637"/>
    </row>
    <row r="638" spans="1:14">
      <c r="E638" s="2" t="s">
        <v>43</v>
      </c>
      <c r="G638"/>
      <c r="H638" s="8" t="s">
        <v>156</v>
      </c>
      <c r="I638"/>
      <c r="J638"/>
      <c r="L638"/>
      <c r="N638"/>
    </row>
    <row r="639" spans="1:14">
      <c r="E639" s="2" t="s">
        <v>44</v>
      </c>
      <c r="G639"/>
      <c r="H639" s="8" t="s">
        <v>157</v>
      </c>
      <c r="I639"/>
      <c r="J639"/>
      <c r="L639"/>
      <c r="N639"/>
    </row>
    <row r="640" spans="1:14">
      <c r="E640" s="2" t="s">
        <v>45</v>
      </c>
      <c r="G640"/>
      <c r="H640" s="8" t="s">
        <v>158</v>
      </c>
      <c r="I640"/>
      <c r="J640"/>
      <c r="L640"/>
      <c r="N640" t="s">
        <v>241</v>
      </c>
    </row>
    <row r="641" spans="5:14">
      <c r="E641" s="2" t="s">
        <v>47</v>
      </c>
      <c r="G641"/>
      <c r="H641" s="8" t="s">
        <v>160</v>
      </c>
      <c r="I641"/>
      <c r="J641"/>
      <c r="L641"/>
      <c r="N641"/>
    </row>
    <row r="642" spans="5:14">
      <c r="E642" s="2" t="s">
        <v>48</v>
      </c>
      <c r="G642"/>
      <c r="H642" s="8" t="s">
        <v>161</v>
      </c>
      <c r="I642"/>
      <c r="J642"/>
      <c r="L642"/>
      <c r="N642"/>
    </row>
    <row r="643" spans="5:14">
      <c r="E643" s="2" t="s">
        <v>49</v>
      </c>
      <c r="G643"/>
      <c r="H643" s="8" t="s">
        <v>162</v>
      </c>
      <c r="I643"/>
      <c r="J643"/>
      <c r="L643"/>
      <c r="N643"/>
    </row>
    <row r="644" spans="5:14">
      <c r="E644" s="2" t="s">
        <v>50</v>
      </c>
      <c r="G644"/>
      <c r="H644" s="8" t="s">
        <v>163</v>
      </c>
      <c r="I644"/>
      <c r="J644"/>
      <c r="L644"/>
      <c r="N644"/>
    </row>
    <row r="645" spans="5:14">
      <c r="E645" s="2" t="s">
        <v>51</v>
      </c>
      <c r="G645"/>
      <c r="H645" s="8" t="s">
        <v>164</v>
      </c>
      <c r="I645"/>
      <c r="J645"/>
      <c r="L645"/>
      <c r="N645"/>
    </row>
    <row r="646" spans="5:14">
      <c r="E646" s="2" t="s">
        <v>53</v>
      </c>
      <c r="G646"/>
      <c r="H646" s="8" t="s">
        <v>165</v>
      </c>
      <c r="I646"/>
      <c r="J646"/>
      <c r="L646"/>
      <c r="N646"/>
    </row>
    <row r="647" spans="5:14">
      <c r="E647" s="2" t="s">
        <v>54</v>
      </c>
      <c r="G647"/>
      <c r="H647" s="8" t="s">
        <v>166</v>
      </c>
      <c r="I647"/>
      <c r="J647"/>
      <c r="L647"/>
      <c r="N647"/>
    </row>
    <row r="648" spans="5:14">
      <c r="E648" s="2" t="s">
        <v>55</v>
      </c>
      <c r="G648"/>
      <c r="H648" s="8" t="s">
        <v>167</v>
      </c>
      <c r="I648"/>
      <c r="J648"/>
      <c r="L648"/>
      <c r="N648"/>
    </row>
    <row r="649" spans="5:14">
      <c r="E649" s="2" t="s">
        <v>56</v>
      </c>
      <c r="G649"/>
      <c r="H649" s="8" t="s">
        <v>168</v>
      </c>
      <c r="I649"/>
      <c r="J649"/>
      <c r="L649"/>
      <c r="N649"/>
    </row>
    <row r="650" spans="5:14">
      <c r="E650" s="2" t="s">
        <v>57</v>
      </c>
      <c r="G650"/>
      <c r="H650" s="8" t="s">
        <v>169</v>
      </c>
      <c r="I650"/>
      <c r="J650"/>
      <c r="L650"/>
      <c r="N650" t="s">
        <v>247</v>
      </c>
    </row>
    <row r="651" spans="5:14">
      <c r="E651" s="2" t="s">
        <v>59</v>
      </c>
      <c r="G651"/>
      <c r="H651" s="8" t="s">
        <v>171</v>
      </c>
      <c r="I651"/>
      <c r="J651"/>
      <c r="L651"/>
      <c r="N651"/>
    </row>
    <row r="652" spans="5:14">
      <c r="E652" s="2" t="s">
        <v>60</v>
      </c>
      <c r="G652"/>
      <c r="H652" s="8" t="s">
        <v>172</v>
      </c>
      <c r="I652"/>
      <c r="J652"/>
      <c r="L652"/>
      <c r="N652"/>
    </row>
    <row r="653" spans="5:14">
      <c r="E653" s="2" t="s">
        <v>61</v>
      </c>
      <c r="G653"/>
      <c r="H653" s="8" t="s">
        <v>173</v>
      </c>
      <c r="I653"/>
      <c r="J653"/>
      <c r="L653"/>
      <c r="N653"/>
    </row>
    <row r="654" spans="5:14">
      <c r="E654" s="2" t="s">
        <v>62</v>
      </c>
      <c r="G654"/>
      <c r="H654" s="8" t="s">
        <v>174</v>
      </c>
      <c r="I654"/>
      <c r="J654"/>
      <c r="L654"/>
      <c r="N654"/>
    </row>
    <row r="655" spans="5:14">
      <c r="E655" s="2" t="s">
        <v>63</v>
      </c>
      <c r="G655"/>
      <c r="H655" s="8" t="s">
        <v>175</v>
      </c>
      <c r="I655"/>
      <c r="J655"/>
      <c r="L655"/>
      <c r="N655"/>
    </row>
    <row r="656" spans="5:14">
      <c r="E656" s="2" t="s">
        <v>65</v>
      </c>
      <c r="G656"/>
      <c r="H656" s="8" t="s">
        <v>176</v>
      </c>
      <c r="L656"/>
      <c r="N656"/>
    </row>
    <row r="657" spans="5:14">
      <c r="E657" s="2" t="s">
        <v>66</v>
      </c>
      <c r="G657"/>
      <c r="H657" s="8" t="s">
        <v>177</v>
      </c>
      <c r="L657"/>
      <c r="N657"/>
    </row>
    <row r="658" spans="5:14">
      <c r="E658" s="2" t="s">
        <v>67</v>
      </c>
      <c r="G658"/>
      <c r="H658" s="8" t="s">
        <v>178</v>
      </c>
      <c r="L658"/>
      <c r="N658"/>
    </row>
    <row r="659" spans="5:14">
      <c r="E659" s="2" t="s">
        <v>68</v>
      </c>
      <c r="G659"/>
      <c r="H659" s="8" t="s">
        <v>179</v>
      </c>
      <c r="L659"/>
      <c r="N659"/>
    </row>
    <row r="660" spans="5:14">
      <c r="E660" s="2" t="s">
        <v>69</v>
      </c>
      <c r="G660"/>
      <c r="H660" s="8" t="s">
        <v>180</v>
      </c>
      <c r="L660"/>
      <c r="N660" t="s">
        <v>248</v>
      </c>
    </row>
    <row r="661" spans="5:14">
      <c r="E661" s="2" t="s">
        <v>71</v>
      </c>
      <c r="G661"/>
      <c r="H661" s="8" t="s">
        <v>181</v>
      </c>
      <c r="L661"/>
      <c r="M661" s="7"/>
      <c r="N661"/>
    </row>
    <row r="662" spans="5:14">
      <c r="E662" s="2" t="s">
        <v>72</v>
      </c>
      <c r="G662"/>
      <c r="H662" s="8" t="s">
        <v>182</v>
      </c>
      <c r="L662"/>
      <c r="M662" s="7"/>
      <c r="N662"/>
    </row>
    <row r="663" spans="5:14">
      <c r="E663" s="2" t="s">
        <v>73</v>
      </c>
      <c r="G663"/>
      <c r="H663" s="8" t="s">
        <v>183</v>
      </c>
      <c r="L663"/>
      <c r="M663" s="7"/>
      <c r="N663"/>
    </row>
    <row r="664" spans="5:14">
      <c r="E664" s="2" t="s">
        <v>74</v>
      </c>
      <c r="G664"/>
      <c r="H664" s="8" t="s">
        <v>184</v>
      </c>
      <c r="L664"/>
      <c r="M664" s="7"/>
      <c r="N664"/>
    </row>
    <row r="665" spans="5:14">
      <c r="E665" s="2" t="s">
        <v>75</v>
      </c>
      <c r="G665"/>
      <c r="H665" s="8" t="s">
        <v>185</v>
      </c>
      <c r="L665"/>
      <c r="M665" s="7"/>
      <c r="N665"/>
    </row>
    <row r="666" spans="5:14">
      <c r="E666" s="2" t="s">
        <v>77</v>
      </c>
      <c r="G666"/>
      <c r="H666" s="8" t="s">
        <v>186</v>
      </c>
      <c r="L666"/>
      <c r="M666" s="7"/>
      <c r="N666"/>
    </row>
    <row r="667" spans="5:14">
      <c r="E667" s="2" t="s">
        <v>78</v>
      </c>
      <c r="G667"/>
      <c r="H667" s="8" t="s">
        <v>187</v>
      </c>
      <c r="L667"/>
      <c r="M667" s="7"/>
      <c r="N667"/>
    </row>
    <row r="668" spans="5:14">
      <c r="E668" s="2" t="s">
        <v>79</v>
      </c>
      <c r="G668"/>
      <c r="H668" s="8" t="s">
        <v>188</v>
      </c>
      <c r="L668"/>
      <c r="M668" s="7"/>
      <c r="N668"/>
    </row>
    <row r="669" spans="5:14">
      <c r="E669" s="2" t="s">
        <v>80</v>
      </c>
      <c r="G669"/>
      <c r="H669" s="8" t="s">
        <v>189</v>
      </c>
      <c r="L669"/>
      <c r="M669" s="7"/>
      <c r="N669"/>
    </row>
    <row r="670" spans="5:14">
      <c r="E670" s="2" t="s">
        <v>81</v>
      </c>
      <c r="G670"/>
      <c r="H670" s="8" t="s">
        <v>190</v>
      </c>
      <c r="L670"/>
      <c r="M670" s="7"/>
      <c r="N670" t="s">
        <v>249</v>
      </c>
    </row>
    <row r="671" spans="5:14">
      <c r="E671" s="2" t="s">
        <v>84</v>
      </c>
      <c r="H671" s="8" t="s">
        <v>192</v>
      </c>
      <c r="L671"/>
      <c r="M671" s="7"/>
      <c r="N671"/>
    </row>
    <row r="672" spans="5:14">
      <c r="E672" s="2" t="s">
        <v>85</v>
      </c>
      <c r="H672" s="8" t="s">
        <v>193</v>
      </c>
      <c r="L672"/>
      <c r="M672" s="7"/>
      <c r="N672"/>
    </row>
    <row r="673" spans="1:14">
      <c r="E673" s="2" t="s">
        <v>86</v>
      </c>
      <c r="H673" s="8" t="s">
        <v>194</v>
      </c>
      <c r="L673"/>
      <c r="M673" s="7"/>
      <c r="N673"/>
    </row>
    <row r="674" spans="1:14">
      <c r="E674" s="2" t="s">
        <v>87</v>
      </c>
      <c r="H674" s="8" t="s">
        <v>195</v>
      </c>
      <c r="L674"/>
      <c r="M674" s="7"/>
      <c r="N674"/>
    </row>
    <row r="675" spans="1:14">
      <c r="E675" s="2" t="s">
        <v>88</v>
      </c>
      <c r="H675" s="8" t="s">
        <v>196</v>
      </c>
      <c r="L675"/>
      <c r="M675" s="7"/>
      <c r="N675"/>
    </row>
    <row r="676" spans="1:14">
      <c r="E676" s="2" t="s">
        <v>90</v>
      </c>
      <c r="H676" s="8" t="s">
        <v>197</v>
      </c>
      <c r="L676"/>
      <c r="M676" s="7"/>
      <c r="N676"/>
    </row>
    <row r="677" spans="1:14">
      <c r="E677" s="2" t="s">
        <v>91</v>
      </c>
      <c r="H677" s="8" t="s">
        <v>198</v>
      </c>
      <c r="L677"/>
      <c r="M677" s="7"/>
      <c r="N677"/>
    </row>
    <row r="678" spans="1:14">
      <c r="E678" s="2" t="s">
        <v>92</v>
      </c>
      <c r="H678" s="8" t="s">
        <v>199</v>
      </c>
      <c r="L678"/>
      <c r="M678" s="7"/>
      <c r="N678"/>
    </row>
    <row r="679" spans="1:14">
      <c r="E679" s="2" t="s">
        <v>93</v>
      </c>
      <c r="H679" s="8" t="s">
        <v>200</v>
      </c>
      <c r="L679"/>
      <c r="M679" s="7"/>
      <c r="N679"/>
    </row>
    <row r="680" spans="1:14">
      <c r="E680" s="2" t="s">
        <v>94</v>
      </c>
      <c r="L680"/>
      <c r="M680" s="7"/>
      <c r="N680"/>
    </row>
    <row r="681" spans="1:14">
      <c r="L681"/>
      <c r="M681" s="7"/>
      <c r="N681"/>
    </row>
    <row r="682" spans="1:14">
      <c r="A682" s="2" t="s">
        <v>250</v>
      </c>
      <c r="B682" s="2" t="s">
        <v>251</v>
      </c>
      <c r="E682" s="2" t="s">
        <v>34</v>
      </c>
      <c r="G682"/>
      <c r="H682" s="8" t="s">
        <v>149</v>
      </c>
      <c r="I682"/>
      <c r="J682"/>
      <c r="L682"/>
      <c r="N682"/>
    </row>
    <row r="683" spans="1:14">
      <c r="A683" s="2" t="s">
        <v>246</v>
      </c>
      <c r="E683" s="2" t="s">
        <v>36</v>
      </c>
      <c r="G683"/>
      <c r="H683" s="8" t="s">
        <v>150</v>
      </c>
      <c r="I683"/>
      <c r="J683"/>
      <c r="L683"/>
      <c r="N683"/>
    </row>
    <row r="684" spans="1:14">
      <c r="E684" s="2" t="s">
        <v>37</v>
      </c>
      <c r="G684"/>
      <c r="H684" s="8" t="s">
        <v>151</v>
      </c>
      <c r="I684"/>
      <c r="J684"/>
      <c r="L684"/>
      <c r="N684"/>
    </row>
    <row r="685" spans="1:14">
      <c r="E685" s="2" t="s">
        <v>38</v>
      </c>
      <c r="G685"/>
      <c r="H685" s="8" t="s">
        <v>152</v>
      </c>
      <c r="I685"/>
      <c r="J685"/>
      <c r="L685"/>
      <c r="N685"/>
    </row>
    <row r="686" spans="1:14">
      <c r="E686" s="2" t="s">
        <v>39</v>
      </c>
      <c r="G686"/>
      <c r="H686" s="8" t="s">
        <v>153</v>
      </c>
      <c r="I686"/>
      <c r="J686"/>
      <c r="L686"/>
      <c r="N686"/>
    </row>
    <row r="687" spans="1:14">
      <c r="E687" s="2" t="s">
        <v>41</v>
      </c>
      <c r="G687"/>
      <c r="H687" s="8" t="s">
        <v>154</v>
      </c>
      <c r="I687"/>
      <c r="J687"/>
      <c r="L687"/>
      <c r="N687"/>
    </row>
    <row r="688" spans="1:14">
      <c r="E688" s="2" t="s">
        <v>42</v>
      </c>
      <c r="G688"/>
      <c r="H688" s="8" t="s">
        <v>155</v>
      </c>
      <c r="I688"/>
      <c r="J688"/>
      <c r="L688"/>
      <c r="N688"/>
    </row>
    <row r="689" spans="5:14">
      <c r="E689" s="2" t="s">
        <v>43</v>
      </c>
      <c r="G689"/>
      <c r="H689" s="8" t="s">
        <v>156</v>
      </c>
      <c r="I689"/>
      <c r="J689"/>
      <c r="L689"/>
      <c r="N689"/>
    </row>
    <row r="690" spans="5:14">
      <c r="E690" s="2" t="s">
        <v>44</v>
      </c>
      <c r="G690"/>
      <c r="H690" s="8" t="s">
        <v>157</v>
      </c>
      <c r="I690"/>
      <c r="J690"/>
      <c r="L690"/>
      <c r="N690"/>
    </row>
    <row r="691" spans="5:14">
      <c r="E691" s="2" t="s">
        <v>45</v>
      </c>
      <c r="G691"/>
      <c r="H691" s="8" t="s">
        <v>158</v>
      </c>
      <c r="I691"/>
      <c r="J691"/>
      <c r="L691"/>
      <c r="N691" t="s">
        <v>252</v>
      </c>
    </row>
    <row r="692" spans="5:14">
      <c r="E692" s="2" t="s">
        <v>47</v>
      </c>
      <c r="G692"/>
      <c r="H692" s="8" t="s">
        <v>160</v>
      </c>
      <c r="I692"/>
      <c r="J692"/>
      <c r="L692"/>
      <c r="N692"/>
    </row>
    <row r="693" spans="5:14">
      <c r="E693" s="2" t="s">
        <v>48</v>
      </c>
      <c r="G693"/>
      <c r="H693" s="8" t="s">
        <v>161</v>
      </c>
      <c r="I693"/>
      <c r="J693"/>
      <c r="L693"/>
      <c r="N693"/>
    </row>
    <row r="694" spans="5:14">
      <c r="E694" s="2" t="s">
        <v>49</v>
      </c>
      <c r="G694"/>
      <c r="H694" s="8" t="s">
        <v>162</v>
      </c>
      <c r="I694"/>
      <c r="J694"/>
      <c r="L694"/>
      <c r="N694"/>
    </row>
    <row r="695" spans="5:14">
      <c r="E695" s="2" t="s">
        <v>50</v>
      </c>
      <c r="G695"/>
      <c r="H695" s="8" t="s">
        <v>163</v>
      </c>
      <c r="I695"/>
      <c r="J695"/>
      <c r="L695"/>
      <c r="N695"/>
    </row>
    <row r="696" spans="5:14">
      <c r="E696" s="2" t="s">
        <v>51</v>
      </c>
      <c r="G696"/>
      <c r="H696" s="8" t="s">
        <v>164</v>
      </c>
      <c r="I696"/>
      <c r="J696"/>
      <c r="L696"/>
      <c r="N696"/>
    </row>
    <row r="697" spans="5:14">
      <c r="E697" s="2" t="s">
        <v>53</v>
      </c>
      <c r="G697"/>
      <c r="H697" s="8" t="s">
        <v>165</v>
      </c>
      <c r="I697"/>
      <c r="J697"/>
      <c r="L697"/>
      <c r="N697"/>
    </row>
    <row r="698" spans="5:14">
      <c r="E698" s="2" t="s">
        <v>54</v>
      </c>
      <c r="G698"/>
      <c r="H698" s="8" t="s">
        <v>166</v>
      </c>
      <c r="I698"/>
      <c r="J698"/>
      <c r="L698"/>
      <c r="N698"/>
    </row>
    <row r="699" spans="5:14">
      <c r="E699" s="2" t="s">
        <v>55</v>
      </c>
      <c r="G699"/>
      <c r="H699" s="8" t="s">
        <v>167</v>
      </c>
      <c r="I699"/>
      <c r="J699"/>
      <c r="L699"/>
      <c r="N699"/>
    </row>
    <row r="700" spans="5:14">
      <c r="E700" s="2" t="s">
        <v>56</v>
      </c>
      <c r="G700"/>
      <c r="H700" s="8" t="s">
        <v>168</v>
      </c>
      <c r="I700"/>
      <c r="J700"/>
      <c r="L700"/>
      <c r="N700"/>
    </row>
    <row r="701" spans="5:14">
      <c r="E701" s="2" t="s">
        <v>57</v>
      </c>
      <c r="G701"/>
      <c r="H701" s="8" t="s">
        <v>169</v>
      </c>
      <c r="I701"/>
      <c r="J701"/>
      <c r="L701"/>
      <c r="N701" t="s">
        <v>253</v>
      </c>
    </row>
    <row r="702" spans="5:14">
      <c r="E702" s="2" t="s">
        <v>59</v>
      </c>
      <c r="G702"/>
      <c r="H702" s="8" t="s">
        <v>171</v>
      </c>
      <c r="I702"/>
      <c r="J702"/>
      <c r="L702"/>
      <c r="N702"/>
    </row>
    <row r="703" spans="5:14">
      <c r="E703" s="2" t="s">
        <v>60</v>
      </c>
      <c r="G703"/>
      <c r="H703" s="8" t="s">
        <v>172</v>
      </c>
      <c r="I703"/>
      <c r="J703"/>
      <c r="L703"/>
      <c r="N703"/>
    </row>
    <row r="704" spans="5:14">
      <c r="E704" s="2" t="s">
        <v>61</v>
      </c>
      <c r="G704"/>
      <c r="H704" s="8" t="s">
        <v>173</v>
      </c>
      <c r="I704"/>
      <c r="J704"/>
      <c r="L704"/>
      <c r="N704"/>
    </row>
    <row r="705" spans="5:14">
      <c r="E705" s="2" t="s">
        <v>62</v>
      </c>
      <c r="G705"/>
      <c r="H705" s="8" t="s">
        <v>174</v>
      </c>
      <c r="I705"/>
      <c r="J705"/>
      <c r="L705"/>
      <c r="N705"/>
    </row>
    <row r="706" spans="5:14">
      <c r="E706" s="2" t="s">
        <v>63</v>
      </c>
      <c r="G706"/>
      <c r="H706" s="8" t="s">
        <v>175</v>
      </c>
      <c r="I706"/>
      <c r="J706"/>
      <c r="L706"/>
      <c r="N706"/>
    </row>
    <row r="707" spans="5:14">
      <c r="E707" s="2" t="s">
        <v>65</v>
      </c>
      <c r="G707"/>
      <c r="H707" s="8" t="s">
        <v>176</v>
      </c>
      <c r="L707"/>
      <c r="N707"/>
    </row>
    <row r="708" spans="5:14">
      <c r="E708" s="2" t="s">
        <v>66</v>
      </c>
      <c r="G708"/>
      <c r="H708" s="8" t="s">
        <v>177</v>
      </c>
      <c r="L708"/>
      <c r="N708"/>
    </row>
    <row r="709" spans="5:14">
      <c r="E709" s="2" t="s">
        <v>67</v>
      </c>
      <c r="G709"/>
      <c r="H709" s="8" t="s">
        <v>178</v>
      </c>
      <c r="L709"/>
      <c r="N709"/>
    </row>
    <row r="710" spans="5:14">
      <c r="E710" s="2" t="s">
        <v>68</v>
      </c>
      <c r="G710"/>
      <c r="H710" s="8" t="s">
        <v>179</v>
      </c>
      <c r="L710"/>
      <c r="N710"/>
    </row>
    <row r="711" spans="5:14">
      <c r="E711" s="2" t="s">
        <v>69</v>
      </c>
      <c r="G711"/>
      <c r="H711" s="8" t="s">
        <v>180</v>
      </c>
      <c r="N711" t="s">
        <v>252</v>
      </c>
    </row>
    <row r="712" spans="5:14">
      <c r="E712" s="2" t="s">
        <v>71</v>
      </c>
      <c r="G712"/>
      <c r="H712" s="8" t="s">
        <v>181</v>
      </c>
      <c r="M712" s="7"/>
      <c r="N712"/>
    </row>
    <row r="713" spans="5:14">
      <c r="E713" s="2" t="s">
        <v>72</v>
      </c>
      <c r="G713"/>
      <c r="H713" s="8" t="s">
        <v>182</v>
      </c>
      <c r="M713" s="7"/>
      <c r="N713"/>
    </row>
    <row r="714" spans="5:14">
      <c r="E714" s="2" t="s">
        <v>73</v>
      </c>
      <c r="G714"/>
      <c r="H714" s="8" t="s">
        <v>183</v>
      </c>
      <c r="M714" s="7"/>
      <c r="N714"/>
    </row>
    <row r="715" spans="5:14">
      <c r="E715" s="2" t="s">
        <v>74</v>
      </c>
      <c r="G715"/>
      <c r="H715" s="8" t="s">
        <v>184</v>
      </c>
      <c r="M715" s="7"/>
      <c r="N715"/>
    </row>
    <row r="716" spans="5:14">
      <c r="E716" s="2" t="s">
        <v>75</v>
      </c>
      <c r="G716"/>
      <c r="H716" s="8" t="s">
        <v>185</v>
      </c>
      <c r="M716" s="7"/>
      <c r="N716"/>
    </row>
    <row r="717" spans="5:14">
      <c r="E717" s="2" t="s">
        <v>77</v>
      </c>
      <c r="G717"/>
      <c r="H717" s="8" t="s">
        <v>186</v>
      </c>
      <c r="M717" s="7"/>
      <c r="N717"/>
    </row>
    <row r="718" spans="5:14">
      <c r="E718" s="2" t="s">
        <v>78</v>
      </c>
      <c r="G718"/>
      <c r="H718" s="8" t="s">
        <v>187</v>
      </c>
      <c r="L718"/>
      <c r="M718" s="7"/>
      <c r="N718"/>
    </row>
    <row r="719" spans="5:14">
      <c r="E719" s="2" t="s">
        <v>79</v>
      </c>
      <c r="G719"/>
      <c r="H719" s="8" t="s">
        <v>188</v>
      </c>
      <c r="L719"/>
      <c r="M719" s="7"/>
      <c r="N719"/>
    </row>
    <row r="720" spans="5:14">
      <c r="E720" s="2" t="s">
        <v>80</v>
      </c>
      <c r="G720"/>
      <c r="H720" s="8" t="s">
        <v>189</v>
      </c>
      <c r="L720"/>
      <c r="M720" s="7"/>
      <c r="N720"/>
    </row>
    <row r="721" spans="1:14">
      <c r="E721" s="2" t="s">
        <v>81</v>
      </c>
      <c r="G721"/>
      <c r="H721" s="8" t="s">
        <v>190</v>
      </c>
      <c r="L721"/>
      <c r="M721" s="7"/>
      <c r="N721" t="s">
        <v>254</v>
      </c>
    </row>
    <row r="722" spans="1:14">
      <c r="E722" s="2" t="s">
        <v>84</v>
      </c>
      <c r="H722" s="8" t="s">
        <v>192</v>
      </c>
      <c r="L722"/>
      <c r="M722" s="7"/>
      <c r="N722"/>
    </row>
    <row r="723" spans="1:14">
      <c r="E723" s="2" t="s">
        <v>85</v>
      </c>
      <c r="H723" s="8" t="s">
        <v>193</v>
      </c>
      <c r="L723"/>
      <c r="M723" s="7"/>
      <c r="N723"/>
    </row>
    <row r="724" spans="1:14">
      <c r="E724" s="2" t="s">
        <v>86</v>
      </c>
      <c r="H724" s="8" t="s">
        <v>194</v>
      </c>
      <c r="L724"/>
      <c r="M724" s="7"/>
      <c r="N724"/>
    </row>
    <row r="725" spans="1:14">
      <c r="E725" s="2" t="s">
        <v>87</v>
      </c>
      <c r="H725" s="8" t="s">
        <v>195</v>
      </c>
      <c r="L725"/>
      <c r="M725" s="7"/>
      <c r="N725"/>
    </row>
    <row r="726" spans="1:14">
      <c r="E726" s="2" t="s">
        <v>88</v>
      </c>
      <c r="H726" s="8" t="s">
        <v>196</v>
      </c>
      <c r="L726"/>
      <c r="M726" s="7"/>
      <c r="N726"/>
    </row>
    <row r="727" spans="1:14">
      <c r="E727" s="2" t="s">
        <v>90</v>
      </c>
      <c r="H727" s="8" t="s">
        <v>197</v>
      </c>
      <c r="L727"/>
      <c r="M727" s="7"/>
      <c r="N727"/>
    </row>
    <row r="728" spans="1:14">
      <c r="E728" s="2" t="s">
        <v>91</v>
      </c>
      <c r="H728" s="8" t="s">
        <v>198</v>
      </c>
      <c r="L728"/>
      <c r="M728" s="7"/>
      <c r="N728"/>
    </row>
    <row r="729" spans="1:14">
      <c r="E729" s="2" t="s">
        <v>92</v>
      </c>
      <c r="H729" s="8" t="s">
        <v>199</v>
      </c>
      <c r="L729"/>
      <c r="M729" s="7"/>
      <c r="N729"/>
    </row>
    <row r="730" spans="1:14">
      <c r="E730" s="2" t="s">
        <v>93</v>
      </c>
      <c r="H730" s="8" t="s">
        <v>200</v>
      </c>
      <c r="L730"/>
      <c r="M730" s="7"/>
      <c r="N730"/>
    </row>
    <row r="731" spans="1:14">
      <c r="E731" s="2" t="s">
        <v>94</v>
      </c>
      <c r="L731"/>
      <c r="M731" s="7"/>
      <c r="N731"/>
    </row>
    <row r="732" spans="1:14">
      <c r="L732"/>
      <c r="M732" s="7"/>
      <c r="N732"/>
    </row>
    <row r="733" spans="1:14">
      <c r="A733" s="2" t="s">
        <v>255</v>
      </c>
      <c r="B733" s="2" t="s">
        <v>256</v>
      </c>
      <c r="E733" s="2" t="s">
        <v>34</v>
      </c>
      <c r="G733"/>
      <c r="H733" s="2" t="s">
        <v>222</v>
      </c>
      <c r="I733"/>
      <c r="J733"/>
      <c r="L733"/>
      <c r="N733"/>
    </row>
    <row r="734" spans="1:14">
      <c r="A734" s="2" t="s">
        <v>246</v>
      </c>
      <c r="E734" s="2" t="s">
        <v>36</v>
      </c>
      <c r="G734"/>
      <c r="H734" s="2" t="s">
        <v>223</v>
      </c>
      <c r="I734"/>
      <c r="J734"/>
      <c r="L734"/>
      <c r="N734"/>
    </row>
    <row r="735" spans="1:14">
      <c r="E735" s="2" t="s">
        <v>37</v>
      </c>
      <c r="G735"/>
      <c r="H735" s="2" t="s">
        <v>224</v>
      </c>
      <c r="I735"/>
      <c r="J735"/>
      <c r="L735"/>
      <c r="N735"/>
    </row>
    <row r="736" spans="1:14">
      <c r="E736" s="2" t="s">
        <v>38</v>
      </c>
      <c r="G736"/>
      <c r="H736" s="2" t="s">
        <v>225</v>
      </c>
      <c r="I736"/>
      <c r="J736"/>
      <c r="L736"/>
      <c r="N736"/>
    </row>
    <row r="737" spans="1:14">
      <c r="E737" s="2" t="s">
        <v>39</v>
      </c>
      <c r="G737"/>
      <c r="H737" s="2" t="s">
        <v>226</v>
      </c>
      <c r="I737"/>
      <c r="J737"/>
      <c r="L737"/>
      <c r="N737"/>
    </row>
    <row r="738" spans="1:14">
      <c r="E738" s="2" t="s">
        <v>41</v>
      </c>
      <c r="G738"/>
      <c r="H738" s="2" t="s">
        <v>227</v>
      </c>
      <c r="I738"/>
      <c r="J738"/>
      <c r="L738"/>
      <c r="N738"/>
    </row>
    <row r="739" spans="1:14">
      <c r="E739" s="2" t="s">
        <v>42</v>
      </c>
      <c r="G739"/>
      <c r="H739" s="2" t="s">
        <v>228</v>
      </c>
      <c r="I739"/>
      <c r="J739"/>
      <c r="L739"/>
      <c r="N739"/>
    </row>
    <row r="740" spans="1:14">
      <c r="E740" s="2" t="s">
        <v>43</v>
      </c>
      <c r="G740"/>
      <c r="H740" s="2" t="s">
        <v>229</v>
      </c>
      <c r="I740"/>
      <c r="J740"/>
      <c r="L740"/>
      <c r="N740"/>
    </row>
    <row r="741" spans="1:14">
      <c r="E741" s="2" t="s">
        <v>44</v>
      </c>
      <c r="G741"/>
      <c r="H741" s="2" t="s">
        <v>230</v>
      </c>
      <c r="I741"/>
      <c r="J741"/>
      <c r="L741"/>
      <c r="N741"/>
    </row>
    <row r="742" spans="1:14">
      <c r="E742" s="2" t="s">
        <v>45</v>
      </c>
      <c r="G742"/>
      <c r="I742"/>
      <c r="J742"/>
      <c r="L742"/>
      <c r="N742"/>
    </row>
    <row r="743" spans="1:14">
      <c r="E743" s="2" t="s">
        <v>47</v>
      </c>
      <c r="I743"/>
      <c r="J743"/>
      <c r="L743"/>
      <c r="M743" s="7"/>
      <c r="N743"/>
    </row>
    <row r="744" spans="1:14">
      <c r="E744" s="2" t="s">
        <v>48</v>
      </c>
      <c r="I744"/>
      <c r="J744"/>
      <c r="L744"/>
      <c r="M744" s="7"/>
      <c r="N744"/>
    </row>
    <row r="745" spans="1:14">
      <c r="I745"/>
      <c r="J745"/>
      <c r="L745"/>
      <c r="M745" s="7"/>
      <c r="N745"/>
    </row>
    <row r="746" spans="1:14">
      <c r="A746" s="2" t="s">
        <v>257</v>
      </c>
      <c r="B746" s="2" t="s">
        <v>258</v>
      </c>
      <c r="E746" s="2" t="s">
        <v>34</v>
      </c>
      <c r="G746"/>
      <c r="H746" s="8" t="s">
        <v>149</v>
      </c>
      <c r="I746"/>
      <c r="J746"/>
      <c r="L746"/>
      <c r="N746"/>
    </row>
    <row r="747" spans="1:14">
      <c r="E747" s="2" t="s">
        <v>36</v>
      </c>
      <c r="G747"/>
      <c r="H747" s="8" t="s">
        <v>150</v>
      </c>
      <c r="I747"/>
      <c r="J747"/>
      <c r="L747"/>
      <c r="N747"/>
    </row>
    <row r="748" spans="1:14">
      <c r="E748" s="2" t="s">
        <v>37</v>
      </c>
      <c r="G748"/>
      <c r="H748" s="8" t="s">
        <v>151</v>
      </c>
      <c r="I748"/>
      <c r="J748"/>
      <c r="L748"/>
      <c r="N748"/>
    </row>
    <row r="749" spans="1:14">
      <c r="E749" s="2" t="s">
        <v>38</v>
      </c>
      <c r="G749"/>
      <c r="H749" s="8" t="s">
        <v>152</v>
      </c>
      <c r="I749"/>
      <c r="J749"/>
      <c r="L749"/>
      <c r="N749"/>
    </row>
    <row r="750" spans="1:14">
      <c r="E750" s="2" t="s">
        <v>39</v>
      </c>
      <c r="G750"/>
      <c r="H750" s="8" t="s">
        <v>153</v>
      </c>
      <c r="I750"/>
      <c r="J750"/>
      <c r="L750"/>
      <c r="N750"/>
    </row>
    <row r="751" spans="1:14">
      <c r="E751" s="2" t="s">
        <v>41</v>
      </c>
      <c r="G751"/>
      <c r="H751" s="8" t="s">
        <v>154</v>
      </c>
      <c r="I751"/>
      <c r="J751"/>
      <c r="L751"/>
      <c r="N751"/>
    </row>
    <row r="752" spans="1:14">
      <c r="E752" s="2" t="s">
        <v>42</v>
      </c>
      <c r="G752"/>
      <c r="H752" s="8" t="s">
        <v>155</v>
      </c>
      <c r="I752"/>
      <c r="J752"/>
      <c r="L752"/>
      <c r="N752"/>
    </row>
    <row r="753" spans="5:14">
      <c r="E753" s="2" t="s">
        <v>43</v>
      </c>
      <c r="G753"/>
      <c r="H753" s="8" t="s">
        <v>156</v>
      </c>
      <c r="I753"/>
      <c r="J753"/>
      <c r="L753"/>
      <c r="N753"/>
    </row>
    <row r="754" spans="5:14">
      <c r="E754" s="2" t="s">
        <v>44</v>
      </c>
      <c r="G754"/>
      <c r="H754" s="8" t="s">
        <v>157</v>
      </c>
      <c r="I754"/>
      <c r="J754"/>
      <c r="L754"/>
      <c r="N754"/>
    </row>
    <row r="755" spans="5:14">
      <c r="E755" s="2" t="s">
        <v>45</v>
      </c>
      <c r="G755"/>
      <c r="H755" s="8" t="s">
        <v>158</v>
      </c>
      <c r="I755"/>
      <c r="J755"/>
      <c r="L755"/>
      <c r="N755" t="s">
        <v>253</v>
      </c>
    </row>
    <row r="756" spans="5:14">
      <c r="E756" s="2" t="s">
        <v>47</v>
      </c>
      <c r="G756"/>
      <c r="H756" s="8" t="s">
        <v>160</v>
      </c>
      <c r="I756"/>
      <c r="J756"/>
      <c r="L756"/>
      <c r="N756"/>
    </row>
    <row r="757" spans="5:14">
      <c r="E757" s="2" t="s">
        <v>48</v>
      </c>
      <c r="G757"/>
      <c r="H757" s="8" t="s">
        <v>161</v>
      </c>
      <c r="I757"/>
      <c r="J757"/>
      <c r="L757"/>
      <c r="N757"/>
    </row>
    <row r="758" spans="5:14">
      <c r="E758" s="2" t="s">
        <v>49</v>
      </c>
      <c r="G758"/>
      <c r="H758" s="8" t="s">
        <v>162</v>
      </c>
      <c r="I758"/>
      <c r="J758"/>
      <c r="L758"/>
      <c r="N758"/>
    </row>
    <row r="759" spans="5:14">
      <c r="E759" s="2" t="s">
        <v>50</v>
      </c>
      <c r="G759"/>
      <c r="H759" s="8" t="s">
        <v>163</v>
      </c>
      <c r="I759"/>
      <c r="J759"/>
      <c r="L759"/>
      <c r="N759"/>
    </row>
    <row r="760" spans="5:14">
      <c r="E760" s="2" t="s">
        <v>51</v>
      </c>
      <c r="G760"/>
      <c r="H760" s="8" t="s">
        <v>164</v>
      </c>
      <c r="I760"/>
      <c r="J760"/>
      <c r="L760"/>
      <c r="N760"/>
    </row>
    <row r="761" spans="5:14">
      <c r="E761" s="2" t="s">
        <v>53</v>
      </c>
      <c r="G761"/>
      <c r="H761" s="8" t="s">
        <v>165</v>
      </c>
      <c r="I761"/>
      <c r="J761"/>
      <c r="L761"/>
      <c r="N761"/>
    </row>
    <row r="762" spans="5:14">
      <c r="E762" s="2" t="s">
        <v>54</v>
      </c>
      <c r="G762"/>
      <c r="H762" s="8" t="s">
        <v>166</v>
      </c>
      <c r="I762"/>
      <c r="J762"/>
      <c r="L762"/>
      <c r="N762"/>
    </row>
    <row r="763" spans="5:14">
      <c r="E763" s="2" t="s">
        <v>55</v>
      </c>
      <c r="G763"/>
      <c r="H763" s="8" t="s">
        <v>167</v>
      </c>
      <c r="I763"/>
      <c r="J763"/>
      <c r="L763"/>
      <c r="N763"/>
    </row>
    <row r="764" spans="5:14">
      <c r="E764" s="2" t="s">
        <v>56</v>
      </c>
      <c r="G764"/>
      <c r="H764" s="8" t="s">
        <v>168</v>
      </c>
      <c r="I764"/>
      <c r="J764"/>
      <c r="L764"/>
      <c r="N764"/>
    </row>
    <row r="765" spans="5:14">
      <c r="E765" s="2" t="s">
        <v>57</v>
      </c>
      <c r="G765"/>
      <c r="H765" s="8" t="s">
        <v>169</v>
      </c>
      <c r="I765"/>
      <c r="J765"/>
      <c r="L765"/>
      <c r="N765" t="s">
        <v>259</v>
      </c>
    </row>
    <row r="766" spans="5:14">
      <c r="E766" s="2" t="s">
        <v>59</v>
      </c>
      <c r="G766"/>
      <c r="H766" s="8" t="s">
        <v>171</v>
      </c>
      <c r="I766"/>
      <c r="J766"/>
      <c r="L766"/>
      <c r="N766"/>
    </row>
    <row r="767" spans="5:14">
      <c r="E767" s="2" t="s">
        <v>60</v>
      </c>
      <c r="G767"/>
      <c r="H767" s="8" t="s">
        <v>172</v>
      </c>
      <c r="I767"/>
      <c r="J767"/>
      <c r="L767"/>
      <c r="N767"/>
    </row>
    <row r="768" spans="5:14">
      <c r="E768" s="2" t="s">
        <v>61</v>
      </c>
      <c r="G768"/>
      <c r="H768" s="8" t="s">
        <v>173</v>
      </c>
      <c r="I768"/>
      <c r="J768"/>
      <c r="L768"/>
      <c r="N768"/>
    </row>
    <row r="769" spans="5:14">
      <c r="E769" s="2" t="s">
        <v>62</v>
      </c>
      <c r="G769"/>
      <c r="H769" s="8" t="s">
        <v>174</v>
      </c>
      <c r="I769"/>
      <c r="J769"/>
      <c r="L769"/>
      <c r="N769"/>
    </row>
    <row r="770" spans="5:14">
      <c r="E770" s="2" t="s">
        <v>63</v>
      </c>
      <c r="G770"/>
      <c r="H770" s="8" t="s">
        <v>175</v>
      </c>
      <c r="I770"/>
      <c r="J770"/>
      <c r="L770"/>
      <c r="N770"/>
    </row>
    <row r="771" spans="5:14">
      <c r="E771" s="2" t="s">
        <v>65</v>
      </c>
      <c r="G771"/>
      <c r="H771" s="8" t="s">
        <v>176</v>
      </c>
      <c r="L771"/>
      <c r="N771"/>
    </row>
    <row r="772" spans="5:14">
      <c r="E772" s="2" t="s">
        <v>66</v>
      </c>
      <c r="G772"/>
      <c r="H772" s="8" t="s">
        <v>177</v>
      </c>
      <c r="L772"/>
      <c r="N772"/>
    </row>
    <row r="773" spans="5:14">
      <c r="E773" s="2" t="s">
        <v>67</v>
      </c>
      <c r="G773"/>
      <c r="H773" s="8" t="s">
        <v>178</v>
      </c>
      <c r="L773"/>
      <c r="N773"/>
    </row>
    <row r="774" spans="5:14">
      <c r="E774" s="2" t="s">
        <v>68</v>
      </c>
      <c r="G774"/>
      <c r="H774" s="8" t="s">
        <v>179</v>
      </c>
      <c r="L774"/>
      <c r="M774" s="7"/>
      <c r="N774"/>
    </row>
    <row r="775" spans="5:14">
      <c r="E775" s="2" t="s">
        <v>69</v>
      </c>
      <c r="G775"/>
      <c r="H775" s="8" t="s">
        <v>180</v>
      </c>
      <c r="L775"/>
      <c r="M775" s="7"/>
      <c r="N775" t="s">
        <v>259</v>
      </c>
    </row>
    <row r="776" spans="5:14">
      <c r="E776" s="2" t="s">
        <v>71</v>
      </c>
      <c r="G776"/>
      <c r="H776" s="8" t="s">
        <v>181</v>
      </c>
      <c r="L776"/>
      <c r="M776" s="7"/>
      <c r="N776"/>
    </row>
    <row r="777" spans="5:14">
      <c r="E777" s="2" t="s">
        <v>72</v>
      </c>
      <c r="G777"/>
      <c r="H777" s="8" t="s">
        <v>182</v>
      </c>
      <c r="L777"/>
      <c r="M777" s="7"/>
      <c r="N777"/>
    </row>
    <row r="778" spans="5:14">
      <c r="E778" s="2" t="s">
        <v>73</v>
      </c>
      <c r="G778"/>
      <c r="H778" s="8" t="s">
        <v>183</v>
      </c>
      <c r="L778"/>
      <c r="M778" s="7"/>
      <c r="N778"/>
    </row>
    <row r="779" spans="5:14">
      <c r="E779" s="2" t="s">
        <v>74</v>
      </c>
      <c r="G779"/>
      <c r="H779" s="8" t="s">
        <v>184</v>
      </c>
      <c r="L779"/>
      <c r="M779" s="7"/>
      <c r="N779"/>
    </row>
    <row r="780" spans="5:14">
      <c r="E780" s="2" t="s">
        <v>75</v>
      </c>
      <c r="G780"/>
      <c r="H780" s="8" t="s">
        <v>185</v>
      </c>
      <c r="L780"/>
      <c r="M780" s="7"/>
      <c r="N780"/>
    </row>
    <row r="781" spans="5:14">
      <c r="E781" s="2" t="s">
        <v>77</v>
      </c>
      <c r="G781"/>
      <c r="H781" s="8" t="s">
        <v>186</v>
      </c>
      <c r="L781"/>
      <c r="M781" s="7"/>
      <c r="N781"/>
    </row>
    <row r="782" spans="5:14">
      <c r="E782" s="2" t="s">
        <v>78</v>
      </c>
      <c r="G782"/>
      <c r="H782" s="8" t="s">
        <v>187</v>
      </c>
      <c r="L782"/>
      <c r="M782" s="7"/>
      <c r="N782"/>
    </row>
    <row r="783" spans="5:14">
      <c r="E783" s="2" t="s">
        <v>79</v>
      </c>
      <c r="G783"/>
      <c r="H783" s="8" t="s">
        <v>188</v>
      </c>
      <c r="L783"/>
      <c r="M783" s="7"/>
      <c r="N783"/>
    </row>
    <row r="784" spans="5:14">
      <c r="E784" s="2" t="s">
        <v>80</v>
      </c>
      <c r="G784"/>
      <c r="H784" s="8" t="s">
        <v>189</v>
      </c>
      <c r="L784"/>
      <c r="M784" s="7"/>
      <c r="N784"/>
    </row>
    <row r="785" spans="1:14">
      <c r="E785" s="2" t="s">
        <v>81</v>
      </c>
      <c r="G785"/>
      <c r="H785" s="8" t="s">
        <v>190</v>
      </c>
      <c r="L785"/>
      <c r="M785" s="7"/>
      <c r="N785" t="s">
        <v>260</v>
      </c>
    </row>
    <row r="786" spans="1:14">
      <c r="E786" s="2" t="s">
        <v>84</v>
      </c>
      <c r="G786"/>
      <c r="H786" s="8" t="s">
        <v>192</v>
      </c>
      <c r="L786"/>
      <c r="M786" s="7"/>
      <c r="N786"/>
    </row>
    <row r="787" spans="1:14">
      <c r="E787" s="2" t="s">
        <v>85</v>
      </c>
      <c r="G787"/>
      <c r="H787" s="8" t="s">
        <v>193</v>
      </c>
      <c r="L787"/>
      <c r="M787" s="7"/>
      <c r="N787"/>
    </row>
    <row r="788" spans="1:14">
      <c r="E788" s="2" t="s">
        <v>86</v>
      </c>
      <c r="G788"/>
      <c r="H788" s="8" t="s">
        <v>194</v>
      </c>
      <c r="L788"/>
      <c r="M788" s="7"/>
      <c r="N788"/>
    </row>
    <row r="789" spans="1:14">
      <c r="E789" s="2" t="s">
        <v>87</v>
      </c>
      <c r="G789"/>
      <c r="H789" s="8" t="s">
        <v>195</v>
      </c>
      <c r="L789"/>
      <c r="M789" s="7"/>
      <c r="N789"/>
    </row>
    <row r="790" spans="1:14">
      <c r="E790" s="2" t="s">
        <v>88</v>
      </c>
      <c r="G790"/>
      <c r="H790" s="8" t="s">
        <v>196</v>
      </c>
      <c r="L790"/>
      <c r="M790" s="7"/>
      <c r="N790"/>
    </row>
    <row r="791" spans="1:14">
      <c r="E791" s="2" t="s">
        <v>90</v>
      </c>
      <c r="G791"/>
      <c r="H791" s="8" t="s">
        <v>197</v>
      </c>
      <c r="L791"/>
      <c r="M791" s="7"/>
      <c r="N791"/>
    </row>
    <row r="792" spans="1:14">
      <c r="E792" s="2" t="s">
        <v>91</v>
      </c>
      <c r="G792"/>
      <c r="H792" s="8" t="s">
        <v>198</v>
      </c>
      <c r="L792"/>
      <c r="M792" s="7"/>
      <c r="N792"/>
    </row>
    <row r="793" spans="1:14">
      <c r="E793" s="2" t="s">
        <v>92</v>
      </c>
      <c r="G793"/>
      <c r="H793" s="8" t="s">
        <v>199</v>
      </c>
      <c r="L793"/>
      <c r="M793" s="7"/>
      <c r="N793"/>
    </row>
    <row r="794" spans="1:14">
      <c r="E794" s="2" t="s">
        <v>93</v>
      </c>
      <c r="G794"/>
      <c r="H794" s="8" t="s">
        <v>200</v>
      </c>
      <c r="L794"/>
      <c r="M794" s="7"/>
      <c r="N794"/>
    </row>
    <row r="795" spans="1:14">
      <c r="E795" s="2" t="s">
        <v>94</v>
      </c>
      <c r="G795"/>
      <c r="L795"/>
      <c r="M795" s="7"/>
      <c r="N795"/>
    </row>
    <row r="796" spans="1:14">
      <c r="G796"/>
      <c r="L796"/>
      <c r="M796" s="7"/>
      <c r="N796"/>
    </row>
    <row r="797" spans="1:14">
      <c r="A797" s="2" t="s">
        <v>261</v>
      </c>
      <c r="B797" s="2" t="s">
        <v>262</v>
      </c>
      <c r="E797" s="2" t="s">
        <v>34</v>
      </c>
      <c r="G797"/>
      <c r="H797" s="8" t="s">
        <v>149</v>
      </c>
      <c r="L797"/>
      <c r="N797"/>
    </row>
    <row r="798" spans="1:14">
      <c r="E798" s="2" t="s">
        <v>36</v>
      </c>
      <c r="G798"/>
      <c r="H798" s="8" t="s">
        <v>150</v>
      </c>
      <c r="L798"/>
      <c r="N798"/>
    </row>
    <row r="799" spans="1:14">
      <c r="E799" s="2" t="s">
        <v>37</v>
      </c>
      <c r="G799"/>
      <c r="H799" s="8" t="s">
        <v>151</v>
      </c>
      <c r="L799"/>
      <c r="N799"/>
    </row>
    <row r="800" spans="1:14">
      <c r="E800" s="2" t="s">
        <v>38</v>
      </c>
      <c r="G800"/>
      <c r="H800" s="8" t="s">
        <v>152</v>
      </c>
      <c r="L800"/>
      <c r="N800"/>
    </row>
    <row r="801" spans="5:14">
      <c r="E801" s="2" t="s">
        <v>39</v>
      </c>
      <c r="G801"/>
      <c r="H801" s="8" t="s">
        <v>153</v>
      </c>
      <c r="L801"/>
      <c r="N801"/>
    </row>
    <row r="802" spans="5:14">
      <c r="E802" s="2" t="s">
        <v>41</v>
      </c>
      <c r="G802"/>
      <c r="H802" s="8" t="s">
        <v>154</v>
      </c>
      <c r="L802"/>
      <c r="N802"/>
    </row>
    <row r="803" spans="5:14">
      <c r="E803" s="2" t="s">
        <v>42</v>
      </c>
      <c r="G803"/>
      <c r="H803" s="8" t="s">
        <v>155</v>
      </c>
      <c r="L803"/>
      <c r="N803"/>
    </row>
    <row r="804" spans="5:14">
      <c r="E804" s="2" t="s">
        <v>43</v>
      </c>
      <c r="G804"/>
      <c r="H804" s="8" t="s">
        <v>156</v>
      </c>
      <c r="I804"/>
      <c r="J804"/>
      <c r="L804"/>
      <c r="N804"/>
    </row>
    <row r="805" spans="5:14">
      <c r="E805" s="2" t="s">
        <v>44</v>
      </c>
      <c r="G805"/>
      <c r="H805" s="8" t="s">
        <v>157</v>
      </c>
      <c r="L805"/>
      <c r="N805"/>
    </row>
    <row r="806" spans="5:14">
      <c r="E806" s="2" t="s">
        <v>45</v>
      </c>
      <c r="G806"/>
      <c r="H806" s="8" t="s">
        <v>158</v>
      </c>
      <c r="I806"/>
      <c r="J806"/>
      <c r="L806"/>
      <c r="N806" t="s">
        <v>263</v>
      </c>
    </row>
    <row r="807" spans="5:14">
      <c r="E807" s="2" t="s">
        <v>47</v>
      </c>
      <c r="G807"/>
      <c r="H807" s="8" t="s">
        <v>160</v>
      </c>
      <c r="L807"/>
      <c r="N807"/>
    </row>
    <row r="808" spans="5:14">
      <c r="E808" s="2" t="s">
        <v>48</v>
      </c>
      <c r="G808"/>
      <c r="H808" s="8" t="s">
        <v>161</v>
      </c>
      <c r="L808"/>
      <c r="N808"/>
    </row>
    <row r="809" spans="5:14">
      <c r="E809" s="2" t="s">
        <v>49</v>
      </c>
      <c r="G809"/>
      <c r="H809" s="8" t="s">
        <v>162</v>
      </c>
      <c r="L809"/>
      <c r="N809"/>
    </row>
    <row r="810" spans="5:14">
      <c r="E810" s="2" t="s">
        <v>50</v>
      </c>
      <c r="G810"/>
      <c r="H810" s="8" t="s">
        <v>163</v>
      </c>
      <c r="L810"/>
      <c r="N810"/>
    </row>
    <row r="811" spans="5:14">
      <c r="E811" s="2" t="s">
        <v>51</v>
      </c>
      <c r="G811"/>
      <c r="H811" s="8" t="s">
        <v>164</v>
      </c>
      <c r="I811"/>
      <c r="J811"/>
      <c r="L811"/>
      <c r="N811"/>
    </row>
    <row r="812" spans="5:14">
      <c r="E812" s="2" t="s">
        <v>53</v>
      </c>
      <c r="G812"/>
      <c r="H812" s="8" t="s">
        <v>165</v>
      </c>
      <c r="L812"/>
      <c r="N812"/>
    </row>
    <row r="813" spans="5:14">
      <c r="E813" s="2" t="s">
        <v>54</v>
      </c>
      <c r="G813"/>
      <c r="H813" s="8" t="s">
        <v>166</v>
      </c>
      <c r="L813"/>
      <c r="N813"/>
    </row>
    <row r="814" spans="5:14">
      <c r="E814" s="2" t="s">
        <v>55</v>
      </c>
      <c r="G814"/>
      <c r="H814" s="8" t="s">
        <v>167</v>
      </c>
      <c r="L814"/>
      <c r="N814"/>
    </row>
    <row r="815" spans="5:14">
      <c r="E815" s="2" t="s">
        <v>56</v>
      </c>
      <c r="G815"/>
      <c r="H815" s="8" t="s">
        <v>168</v>
      </c>
      <c r="L815"/>
      <c r="N815"/>
    </row>
    <row r="816" spans="5:14">
      <c r="E816" s="2" t="s">
        <v>57</v>
      </c>
      <c r="G816"/>
      <c r="H816" s="8" t="s">
        <v>169</v>
      </c>
      <c r="L816"/>
      <c r="N816" t="s">
        <v>264</v>
      </c>
    </row>
    <row r="817" spans="5:14">
      <c r="E817" s="2" t="s">
        <v>59</v>
      </c>
      <c r="G817"/>
      <c r="H817" s="8" t="s">
        <v>171</v>
      </c>
      <c r="L817"/>
      <c r="N817"/>
    </row>
    <row r="818" spans="5:14">
      <c r="E818" s="2" t="s">
        <v>60</v>
      </c>
      <c r="G818"/>
      <c r="H818" s="8" t="s">
        <v>172</v>
      </c>
      <c r="L818"/>
      <c r="N818"/>
    </row>
    <row r="819" spans="5:14">
      <c r="E819" s="2" t="s">
        <v>61</v>
      </c>
      <c r="G819"/>
      <c r="H819" s="8" t="s">
        <v>173</v>
      </c>
      <c r="L819"/>
      <c r="N819"/>
    </row>
    <row r="820" spans="5:14">
      <c r="E820" s="2" t="s">
        <v>62</v>
      </c>
      <c r="G820"/>
      <c r="H820" s="8" t="s">
        <v>174</v>
      </c>
      <c r="L820"/>
      <c r="N820"/>
    </row>
    <row r="821" spans="5:14">
      <c r="E821" s="2" t="s">
        <v>63</v>
      </c>
      <c r="G821"/>
      <c r="H821" s="8" t="s">
        <v>175</v>
      </c>
      <c r="L821"/>
      <c r="N821"/>
    </row>
    <row r="822" spans="5:14">
      <c r="E822" s="2" t="s">
        <v>65</v>
      </c>
      <c r="G822"/>
      <c r="H822" s="8" t="s">
        <v>176</v>
      </c>
      <c r="I822"/>
      <c r="J822"/>
      <c r="L822"/>
      <c r="N822"/>
    </row>
    <row r="823" spans="5:14">
      <c r="E823" s="2" t="s">
        <v>66</v>
      </c>
      <c r="G823"/>
      <c r="H823" s="8" t="s">
        <v>177</v>
      </c>
      <c r="I823"/>
      <c r="J823"/>
      <c r="L823"/>
      <c r="N823"/>
    </row>
    <row r="824" spans="5:14">
      <c r="E824" s="2" t="s">
        <v>67</v>
      </c>
      <c r="G824"/>
      <c r="H824" s="8" t="s">
        <v>178</v>
      </c>
      <c r="I824"/>
      <c r="J824"/>
      <c r="L824"/>
      <c r="M824" s="7"/>
      <c r="N824"/>
    </row>
    <row r="825" spans="5:14">
      <c r="E825" s="2" t="s">
        <v>68</v>
      </c>
      <c r="G825"/>
      <c r="H825" s="8" t="s">
        <v>179</v>
      </c>
      <c r="I825"/>
      <c r="J825"/>
      <c r="L825"/>
      <c r="M825" s="7"/>
      <c r="N825"/>
    </row>
    <row r="826" spans="5:14">
      <c r="E826" s="2" t="s">
        <v>69</v>
      </c>
      <c r="G826"/>
      <c r="H826" s="8" t="s">
        <v>180</v>
      </c>
      <c r="I826"/>
      <c r="J826"/>
      <c r="L826"/>
      <c r="M826" s="7"/>
      <c r="N826" t="s">
        <v>265</v>
      </c>
    </row>
    <row r="827" spans="5:14">
      <c r="E827" s="2" t="s">
        <v>71</v>
      </c>
      <c r="G827"/>
      <c r="H827" s="8" t="s">
        <v>181</v>
      </c>
      <c r="I827"/>
      <c r="J827"/>
      <c r="L827"/>
      <c r="M827" s="7"/>
      <c r="N827"/>
    </row>
    <row r="828" spans="5:14">
      <c r="E828" s="2" t="s">
        <v>72</v>
      </c>
      <c r="G828"/>
      <c r="H828" s="8" t="s">
        <v>182</v>
      </c>
      <c r="I828"/>
      <c r="J828"/>
      <c r="L828"/>
      <c r="M828" s="7"/>
      <c r="N828"/>
    </row>
    <row r="829" spans="5:14">
      <c r="E829" s="2" t="s">
        <v>73</v>
      </c>
      <c r="G829"/>
      <c r="H829" s="8" t="s">
        <v>183</v>
      </c>
      <c r="I829"/>
      <c r="J829"/>
      <c r="L829"/>
      <c r="M829" s="7"/>
      <c r="N829"/>
    </row>
    <row r="830" spans="5:14">
      <c r="E830" s="2" t="s">
        <v>74</v>
      </c>
      <c r="G830"/>
      <c r="H830" s="8" t="s">
        <v>184</v>
      </c>
      <c r="I830"/>
      <c r="J830"/>
      <c r="L830"/>
      <c r="M830" s="7"/>
      <c r="N830"/>
    </row>
    <row r="831" spans="5:14">
      <c r="E831" s="2" t="s">
        <v>75</v>
      </c>
      <c r="G831"/>
      <c r="H831" s="8" t="s">
        <v>185</v>
      </c>
      <c r="I831"/>
      <c r="J831"/>
      <c r="L831"/>
      <c r="M831" s="7"/>
      <c r="N831"/>
    </row>
    <row r="832" spans="5:14">
      <c r="E832" s="2" t="s">
        <v>77</v>
      </c>
      <c r="G832"/>
      <c r="H832" s="8" t="s">
        <v>186</v>
      </c>
      <c r="I832"/>
      <c r="J832"/>
      <c r="L832"/>
      <c r="M832" s="7"/>
      <c r="N832"/>
    </row>
    <row r="833" spans="1:14">
      <c r="E833" s="2" t="s">
        <v>78</v>
      </c>
      <c r="G833"/>
      <c r="H833" s="8" t="s">
        <v>187</v>
      </c>
      <c r="I833"/>
      <c r="J833"/>
      <c r="L833"/>
      <c r="M833" s="7"/>
      <c r="N833"/>
    </row>
    <row r="834" spans="1:14">
      <c r="E834" s="2" t="s">
        <v>79</v>
      </c>
      <c r="G834"/>
      <c r="H834" s="8" t="s">
        <v>188</v>
      </c>
      <c r="I834"/>
      <c r="J834"/>
      <c r="L834"/>
      <c r="M834" s="7"/>
      <c r="N834"/>
    </row>
    <row r="835" spans="1:14">
      <c r="E835" s="2" t="s">
        <v>80</v>
      </c>
      <c r="G835"/>
      <c r="H835" s="8" t="s">
        <v>189</v>
      </c>
      <c r="I835"/>
      <c r="J835"/>
      <c r="L835"/>
      <c r="M835" s="7"/>
      <c r="N835"/>
    </row>
    <row r="836" spans="1:14">
      <c r="E836" s="2" t="s">
        <v>81</v>
      </c>
      <c r="G836"/>
      <c r="H836" s="8" t="s">
        <v>190</v>
      </c>
      <c r="I836"/>
      <c r="J836"/>
      <c r="L836"/>
      <c r="M836" s="7"/>
      <c r="N836" t="s">
        <v>266</v>
      </c>
    </row>
    <row r="837" spans="1:14">
      <c r="E837" s="2" t="s">
        <v>84</v>
      </c>
      <c r="G837"/>
      <c r="H837" s="8" t="s">
        <v>192</v>
      </c>
      <c r="I837"/>
      <c r="J837"/>
      <c r="L837"/>
      <c r="M837" s="7"/>
      <c r="N837"/>
    </row>
    <row r="838" spans="1:14">
      <c r="E838" s="2" t="s">
        <v>85</v>
      </c>
      <c r="G838"/>
      <c r="H838" s="8" t="s">
        <v>193</v>
      </c>
      <c r="I838"/>
      <c r="J838"/>
      <c r="L838"/>
      <c r="M838" s="7"/>
      <c r="N838"/>
    </row>
    <row r="839" spans="1:14">
      <c r="E839" s="2" t="s">
        <v>86</v>
      </c>
      <c r="G839"/>
      <c r="H839" s="8" t="s">
        <v>194</v>
      </c>
      <c r="I839"/>
      <c r="J839"/>
      <c r="L839"/>
      <c r="M839" s="7"/>
      <c r="N839"/>
    </row>
    <row r="840" spans="1:14">
      <c r="E840" s="2" t="s">
        <v>87</v>
      </c>
      <c r="G840"/>
      <c r="H840" s="8" t="s">
        <v>195</v>
      </c>
      <c r="I840"/>
      <c r="J840"/>
      <c r="L840"/>
      <c r="M840" s="7"/>
      <c r="N840"/>
    </row>
    <row r="841" spans="1:14">
      <c r="E841" s="2" t="s">
        <v>88</v>
      </c>
      <c r="G841"/>
      <c r="H841" s="8" t="s">
        <v>196</v>
      </c>
      <c r="I841"/>
      <c r="J841"/>
      <c r="L841"/>
      <c r="M841" s="7"/>
      <c r="N841"/>
    </row>
    <row r="842" spans="1:14">
      <c r="E842" s="2" t="s">
        <v>90</v>
      </c>
      <c r="G842"/>
      <c r="H842" s="8" t="s">
        <v>197</v>
      </c>
      <c r="I842"/>
      <c r="J842"/>
      <c r="L842"/>
      <c r="M842" s="7"/>
      <c r="N842"/>
    </row>
    <row r="843" spans="1:14">
      <c r="E843" s="2" t="s">
        <v>91</v>
      </c>
      <c r="G843"/>
      <c r="H843" s="8" t="s">
        <v>198</v>
      </c>
      <c r="I843"/>
      <c r="J843"/>
      <c r="L843"/>
      <c r="M843" s="7"/>
      <c r="N843"/>
    </row>
    <row r="844" spans="1:14">
      <c r="E844" s="2" t="s">
        <v>92</v>
      </c>
      <c r="G844"/>
      <c r="H844" s="8" t="s">
        <v>199</v>
      </c>
      <c r="I844"/>
      <c r="J844"/>
      <c r="L844"/>
      <c r="M844" s="7"/>
      <c r="N844"/>
    </row>
    <row r="845" spans="1:14">
      <c r="E845" s="2" t="s">
        <v>93</v>
      </c>
      <c r="G845"/>
      <c r="H845" s="8" t="s">
        <v>200</v>
      </c>
      <c r="I845"/>
      <c r="J845"/>
      <c r="L845"/>
      <c r="M845" s="7"/>
      <c r="N845"/>
    </row>
    <row r="846" spans="1:14">
      <c r="E846" s="2" t="s">
        <v>94</v>
      </c>
      <c r="G846"/>
      <c r="I846"/>
      <c r="J846"/>
      <c r="L846"/>
      <c r="M846" s="7"/>
      <c r="N846"/>
    </row>
    <row r="847" spans="1:14">
      <c r="G847"/>
      <c r="I847"/>
      <c r="J847"/>
      <c r="L847"/>
      <c r="M847" s="7"/>
      <c r="N847"/>
    </row>
    <row r="848" spans="1:14">
      <c r="A848" s="2" t="s">
        <v>267</v>
      </c>
      <c r="B848" s="2" t="s">
        <v>268</v>
      </c>
      <c r="E848" s="2" t="s">
        <v>34</v>
      </c>
      <c r="G848"/>
      <c r="H848" s="8" t="s">
        <v>149</v>
      </c>
      <c r="I848"/>
      <c r="J848"/>
      <c r="L848"/>
      <c r="N848"/>
    </row>
    <row r="849" spans="5:14">
      <c r="E849" s="2" t="s">
        <v>36</v>
      </c>
      <c r="G849"/>
      <c r="H849" s="8" t="s">
        <v>150</v>
      </c>
      <c r="I849"/>
      <c r="J849"/>
      <c r="L849"/>
      <c r="N849"/>
    </row>
    <row r="850" spans="5:14">
      <c r="E850" s="2" t="s">
        <v>37</v>
      </c>
      <c r="G850"/>
      <c r="H850" s="8" t="s">
        <v>151</v>
      </c>
      <c r="I850"/>
      <c r="J850"/>
      <c r="L850"/>
      <c r="N850"/>
    </row>
    <row r="851" spans="5:14">
      <c r="E851" s="2" t="s">
        <v>38</v>
      </c>
      <c r="G851"/>
      <c r="H851" s="8" t="s">
        <v>152</v>
      </c>
      <c r="I851"/>
      <c r="J851"/>
      <c r="L851"/>
      <c r="N851"/>
    </row>
    <row r="852" spans="5:14">
      <c r="E852" s="2" t="s">
        <v>39</v>
      </c>
      <c r="G852"/>
      <c r="H852" s="8" t="s">
        <v>153</v>
      </c>
      <c r="I852"/>
      <c r="J852"/>
      <c r="L852"/>
      <c r="N852"/>
    </row>
    <row r="853" spans="5:14">
      <c r="E853" s="2" t="s">
        <v>41</v>
      </c>
      <c r="G853"/>
      <c r="H853" s="8" t="s">
        <v>154</v>
      </c>
      <c r="I853"/>
      <c r="J853"/>
      <c r="L853"/>
      <c r="N853"/>
    </row>
    <row r="854" spans="5:14">
      <c r="E854" s="2" t="s">
        <v>42</v>
      </c>
      <c r="G854"/>
      <c r="H854" s="8" t="s">
        <v>155</v>
      </c>
      <c r="I854"/>
      <c r="J854"/>
      <c r="L854"/>
      <c r="N854"/>
    </row>
    <row r="855" spans="5:14">
      <c r="E855" s="2" t="s">
        <v>43</v>
      </c>
      <c r="G855"/>
      <c r="H855" s="8" t="s">
        <v>156</v>
      </c>
      <c r="I855"/>
      <c r="J855"/>
      <c r="L855"/>
      <c r="N855"/>
    </row>
    <row r="856" spans="5:14">
      <c r="E856" s="2" t="s">
        <v>44</v>
      </c>
      <c r="G856"/>
      <c r="H856" s="8" t="s">
        <v>157</v>
      </c>
      <c r="I856"/>
      <c r="J856"/>
      <c r="L856"/>
      <c r="N856"/>
    </row>
    <row r="857" spans="5:14">
      <c r="E857" s="2" t="s">
        <v>45</v>
      </c>
      <c r="G857"/>
      <c r="H857" s="8" t="s">
        <v>158</v>
      </c>
      <c r="I857"/>
      <c r="J857"/>
      <c r="L857"/>
      <c r="N857" t="s">
        <v>269</v>
      </c>
    </row>
    <row r="858" spans="5:14">
      <c r="E858" s="2" t="s">
        <v>47</v>
      </c>
      <c r="G858"/>
      <c r="H858" s="8" t="s">
        <v>160</v>
      </c>
      <c r="I858"/>
      <c r="J858"/>
      <c r="L858"/>
      <c r="N858"/>
    </row>
    <row r="859" spans="5:14">
      <c r="E859" s="2" t="s">
        <v>48</v>
      </c>
      <c r="G859"/>
      <c r="H859" s="8" t="s">
        <v>161</v>
      </c>
      <c r="I859"/>
      <c r="J859"/>
      <c r="L859"/>
      <c r="N859"/>
    </row>
    <row r="860" spans="5:14">
      <c r="E860" s="2" t="s">
        <v>49</v>
      </c>
      <c r="G860"/>
      <c r="H860" s="8" t="s">
        <v>162</v>
      </c>
      <c r="I860"/>
      <c r="J860"/>
      <c r="L860"/>
      <c r="N860"/>
    </row>
    <row r="861" spans="5:14">
      <c r="E861" s="2" t="s">
        <v>50</v>
      </c>
      <c r="G861"/>
      <c r="H861" s="8" t="s">
        <v>163</v>
      </c>
      <c r="I861"/>
      <c r="J861"/>
      <c r="L861"/>
      <c r="N861"/>
    </row>
    <row r="862" spans="5:14">
      <c r="E862" s="2" t="s">
        <v>51</v>
      </c>
      <c r="G862"/>
      <c r="H862" s="8" t="s">
        <v>164</v>
      </c>
      <c r="I862"/>
      <c r="J862"/>
      <c r="L862"/>
      <c r="N862"/>
    </row>
    <row r="863" spans="5:14">
      <c r="E863" s="2" t="s">
        <v>53</v>
      </c>
      <c r="G863"/>
      <c r="H863" s="8" t="s">
        <v>165</v>
      </c>
      <c r="I863"/>
      <c r="J863"/>
      <c r="L863"/>
      <c r="N863"/>
    </row>
    <row r="864" spans="5:14">
      <c r="E864" s="2" t="s">
        <v>54</v>
      </c>
      <c r="G864"/>
      <c r="H864" s="8" t="s">
        <v>166</v>
      </c>
      <c r="I864"/>
      <c r="J864"/>
      <c r="L864"/>
      <c r="N864"/>
    </row>
    <row r="865" spans="5:14">
      <c r="E865" s="2" t="s">
        <v>55</v>
      </c>
      <c r="G865"/>
      <c r="H865" s="8" t="s">
        <v>167</v>
      </c>
      <c r="I865"/>
      <c r="J865"/>
      <c r="L865"/>
      <c r="N865"/>
    </row>
    <row r="866" spans="5:14">
      <c r="E866" s="2" t="s">
        <v>56</v>
      </c>
      <c r="G866"/>
      <c r="H866" s="8" t="s">
        <v>168</v>
      </c>
      <c r="I866"/>
      <c r="J866"/>
      <c r="L866"/>
      <c r="N866"/>
    </row>
    <row r="867" spans="5:14">
      <c r="E867" s="2" t="s">
        <v>57</v>
      </c>
      <c r="G867"/>
      <c r="H867" s="8" t="s">
        <v>169</v>
      </c>
      <c r="I867"/>
      <c r="J867"/>
      <c r="L867"/>
      <c r="N867" t="s">
        <v>270</v>
      </c>
    </row>
    <row r="868" spans="5:14">
      <c r="E868" s="2" t="s">
        <v>59</v>
      </c>
      <c r="G868"/>
      <c r="H868" s="8" t="s">
        <v>171</v>
      </c>
      <c r="I868"/>
      <c r="J868"/>
      <c r="L868"/>
      <c r="N868"/>
    </row>
    <row r="869" spans="5:14">
      <c r="E869" s="2" t="s">
        <v>60</v>
      </c>
      <c r="G869"/>
      <c r="H869" s="8" t="s">
        <v>172</v>
      </c>
      <c r="I869"/>
      <c r="J869"/>
      <c r="L869"/>
      <c r="N869"/>
    </row>
    <row r="870" spans="5:14">
      <c r="E870" s="2" t="s">
        <v>61</v>
      </c>
      <c r="G870"/>
      <c r="H870" s="8" t="s">
        <v>173</v>
      </c>
      <c r="I870"/>
      <c r="J870"/>
      <c r="L870"/>
      <c r="N870"/>
    </row>
    <row r="871" spans="5:14">
      <c r="E871" s="2" t="s">
        <v>62</v>
      </c>
      <c r="G871"/>
      <c r="H871" s="8" t="s">
        <v>174</v>
      </c>
      <c r="I871"/>
      <c r="J871"/>
      <c r="L871"/>
      <c r="N871"/>
    </row>
    <row r="872" spans="5:14">
      <c r="E872" s="2" t="s">
        <v>63</v>
      </c>
      <c r="G872"/>
      <c r="H872" s="8" t="s">
        <v>175</v>
      </c>
      <c r="I872"/>
      <c r="J872"/>
      <c r="L872"/>
      <c r="N872"/>
    </row>
    <row r="873" spans="5:14">
      <c r="E873" s="2" t="s">
        <v>65</v>
      </c>
      <c r="G873"/>
      <c r="H873" s="8" t="s">
        <v>176</v>
      </c>
      <c r="L873"/>
      <c r="N873"/>
    </row>
    <row r="874" spans="5:14">
      <c r="E874" s="2" t="s">
        <v>66</v>
      </c>
      <c r="G874"/>
      <c r="H874" s="8" t="s">
        <v>177</v>
      </c>
      <c r="L874"/>
      <c r="N874"/>
    </row>
    <row r="875" spans="5:14">
      <c r="E875" s="2" t="s">
        <v>67</v>
      </c>
      <c r="G875"/>
      <c r="H875" s="8" t="s">
        <v>178</v>
      </c>
      <c r="L875"/>
      <c r="N875"/>
    </row>
    <row r="876" spans="5:14">
      <c r="E876" s="2" t="s">
        <v>68</v>
      </c>
      <c r="G876"/>
      <c r="H876" s="8" t="s">
        <v>179</v>
      </c>
      <c r="L876"/>
      <c r="M876" s="7"/>
      <c r="N876"/>
    </row>
    <row r="877" spans="5:14">
      <c r="E877" s="2" t="s">
        <v>69</v>
      </c>
      <c r="G877"/>
      <c r="H877" s="8" t="s">
        <v>180</v>
      </c>
      <c r="L877"/>
      <c r="M877" s="7"/>
      <c r="N877" t="s">
        <v>271</v>
      </c>
    </row>
    <row r="878" spans="5:14">
      <c r="E878" s="2" t="s">
        <v>71</v>
      </c>
      <c r="G878"/>
      <c r="H878" s="8" t="s">
        <v>181</v>
      </c>
      <c r="L878"/>
      <c r="M878" s="7"/>
      <c r="N878"/>
    </row>
    <row r="879" spans="5:14">
      <c r="E879" s="2" t="s">
        <v>72</v>
      </c>
      <c r="G879"/>
      <c r="H879" s="8" t="s">
        <v>182</v>
      </c>
      <c r="L879"/>
      <c r="M879" s="7"/>
      <c r="N879"/>
    </row>
    <row r="880" spans="5:14">
      <c r="E880" s="2" t="s">
        <v>73</v>
      </c>
      <c r="G880"/>
      <c r="H880" s="8" t="s">
        <v>183</v>
      </c>
      <c r="L880"/>
      <c r="M880" s="7"/>
      <c r="N880"/>
    </row>
    <row r="881" spans="5:14">
      <c r="E881" s="2" t="s">
        <v>74</v>
      </c>
      <c r="G881"/>
      <c r="H881" s="8" t="s">
        <v>184</v>
      </c>
      <c r="L881"/>
      <c r="M881" s="7"/>
      <c r="N881"/>
    </row>
    <row r="882" spans="5:14">
      <c r="E882" s="2" t="s">
        <v>75</v>
      </c>
      <c r="G882"/>
      <c r="H882" s="8" t="s">
        <v>185</v>
      </c>
      <c r="L882"/>
      <c r="M882" s="7"/>
      <c r="N882"/>
    </row>
    <row r="883" spans="5:14">
      <c r="E883" s="2" t="s">
        <v>77</v>
      </c>
      <c r="G883"/>
      <c r="H883" s="8" t="s">
        <v>186</v>
      </c>
      <c r="L883"/>
      <c r="M883" s="7"/>
      <c r="N883"/>
    </row>
    <row r="884" spans="5:14">
      <c r="E884" s="2" t="s">
        <v>78</v>
      </c>
      <c r="G884"/>
      <c r="H884" s="8" t="s">
        <v>187</v>
      </c>
      <c r="L884"/>
      <c r="M884" s="7"/>
      <c r="N884"/>
    </row>
    <row r="885" spans="5:14">
      <c r="E885" s="2" t="s">
        <v>79</v>
      </c>
      <c r="G885"/>
      <c r="H885" s="8" t="s">
        <v>188</v>
      </c>
      <c r="L885"/>
      <c r="M885" s="7"/>
      <c r="N885"/>
    </row>
    <row r="886" spans="5:14">
      <c r="E886" s="2" t="s">
        <v>80</v>
      </c>
      <c r="G886"/>
      <c r="H886" s="8" t="s">
        <v>189</v>
      </c>
      <c r="L886"/>
      <c r="M886" s="7"/>
      <c r="N886"/>
    </row>
    <row r="887" spans="5:14">
      <c r="E887" s="2" t="s">
        <v>81</v>
      </c>
      <c r="G887"/>
      <c r="H887" s="8" t="s">
        <v>190</v>
      </c>
      <c r="L887"/>
      <c r="M887" s="7"/>
      <c r="N887" t="s">
        <v>272</v>
      </c>
    </row>
    <row r="888" spans="5:14">
      <c r="E888" s="2" t="s">
        <v>84</v>
      </c>
      <c r="G888"/>
      <c r="H888" s="8" t="s">
        <v>192</v>
      </c>
      <c r="L888"/>
      <c r="M888" s="7"/>
      <c r="N888"/>
    </row>
    <row r="889" spans="5:14">
      <c r="E889" s="2" t="s">
        <v>85</v>
      </c>
      <c r="G889"/>
      <c r="H889" s="8" t="s">
        <v>193</v>
      </c>
      <c r="L889"/>
      <c r="M889" s="7"/>
      <c r="N889"/>
    </row>
    <row r="890" spans="5:14">
      <c r="E890" s="2" t="s">
        <v>86</v>
      </c>
      <c r="G890"/>
      <c r="H890" s="8" t="s">
        <v>194</v>
      </c>
      <c r="L890"/>
      <c r="M890" s="7"/>
      <c r="N890"/>
    </row>
    <row r="891" spans="5:14">
      <c r="E891" s="2" t="s">
        <v>87</v>
      </c>
      <c r="G891"/>
      <c r="H891" s="8" t="s">
        <v>195</v>
      </c>
      <c r="L891"/>
      <c r="M891" s="7"/>
      <c r="N891"/>
    </row>
    <row r="892" spans="5:14">
      <c r="E892" s="2" t="s">
        <v>88</v>
      </c>
      <c r="G892"/>
      <c r="H892" s="8" t="s">
        <v>196</v>
      </c>
      <c r="L892"/>
      <c r="M892" s="7"/>
      <c r="N892"/>
    </row>
    <row r="893" spans="5:14">
      <c r="E893" s="2" t="s">
        <v>90</v>
      </c>
      <c r="G893"/>
      <c r="H893" s="8" t="s">
        <v>197</v>
      </c>
      <c r="L893"/>
      <c r="M893" s="7"/>
      <c r="N893"/>
    </row>
    <row r="894" spans="5:14">
      <c r="E894" s="2" t="s">
        <v>91</v>
      </c>
      <c r="G894"/>
      <c r="H894" s="8" t="s">
        <v>198</v>
      </c>
      <c r="L894"/>
      <c r="M894" s="7"/>
      <c r="N894"/>
    </row>
    <row r="895" spans="5:14">
      <c r="E895" s="2" t="s">
        <v>92</v>
      </c>
      <c r="G895"/>
      <c r="H895" s="8" t="s">
        <v>199</v>
      </c>
      <c r="L895"/>
      <c r="M895" s="7"/>
      <c r="N895"/>
    </row>
    <row r="896" spans="5:14">
      <c r="E896" s="2" t="s">
        <v>93</v>
      </c>
      <c r="G896"/>
      <c r="H896" s="8" t="s">
        <v>200</v>
      </c>
      <c r="L896"/>
      <c r="M896" s="7"/>
      <c r="N896"/>
    </row>
    <row r="897" spans="1:14">
      <c r="E897" s="2" t="s">
        <v>94</v>
      </c>
      <c r="G897"/>
      <c r="L897"/>
      <c r="M897" s="7"/>
      <c r="N897"/>
    </row>
    <row r="898" spans="1:14">
      <c r="G898"/>
      <c r="L898"/>
      <c r="M898" s="7"/>
      <c r="N898"/>
    </row>
    <row r="899" spans="1:14">
      <c r="A899" s="2" t="s">
        <v>273</v>
      </c>
      <c r="B899" s="2" t="s">
        <v>274</v>
      </c>
      <c r="E899" s="2" t="s">
        <v>34</v>
      </c>
      <c r="G899"/>
      <c r="H899" s="8" t="s">
        <v>149</v>
      </c>
      <c r="I899"/>
      <c r="J899"/>
      <c r="L899"/>
      <c r="N899"/>
    </row>
    <row r="900" spans="1:14">
      <c r="E900" s="2" t="s">
        <v>36</v>
      </c>
      <c r="G900"/>
      <c r="H900" s="8" t="s">
        <v>150</v>
      </c>
      <c r="I900"/>
      <c r="J900"/>
      <c r="L900"/>
      <c r="N900"/>
    </row>
    <row r="901" spans="1:14">
      <c r="E901" s="2" t="s">
        <v>37</v>
      </c>
      <c r="G901"/>
      <c r="H901" s="8" t="s">
        <v>151</v>
      </c>
      <c r="I901"/>
      <c r="J901"/>
      <c r="L901"/>
      <c r="N901"/>
    </row>
    <row r="902" spans="1:14">
      <c r="E902" s="2" t="s">
        <v>38</v>
      </c>
      <c r="G902"/>
      <c r="H902" s="8" t="s">
        <v>152</v>
      </c>
      <c r="I902"/>
      <c r="J902"/>
      <c r="L902"/>
      <c r="N902"/>
    </row>
    <row r="903" spans="1:14">
      <c r="E903" s="2" t="s">
        <v>39</v>
      </c>
      <c r="G903"/>
      <c r="H903" s="8" t="s">
        <v>153</v>
      </c>
      <c r="I903"/>
      <c r="J903"/>
      <c r="L903"/>
      <c r="N903"/>
    </row>
    <row r="904" spans="1:14">
      <c r="E904" s="2" t="s">
        <v>41</v>
      </c>
      <c r="G904"/>
      <c r="H904" s="8" t="s">
        <v>154</v>
      </c>
      <c r="I904"/>
      <c r="J904"/>
      <c r="L904"/>
      <c r="N904"/>
    </row>
    <row r="905" spans="1:14">
      <c r="E905" s="2" t="s">
        <v>42</v>
      </c>
      <c r="G905"/>
      <c r="H905" s="8" t="s">
        <v>155</v>
      </c>
      <c r="I905"/>
      <c r="J905"/>
      <c r="L905"/>
      <c r="N905"/>
    </row>
    <row r="906" spans="1:14">
      <c r="E906" s="2" t="s">
        <v>43</v>
      </c>
      <c r="G906"/>
      <c r="H906" s="8" t="s">
        <v>156</v>
      </c>
      <c r="I906"/>
      <c r="J906"/>
      <c r="L906"/>
      <c r="N906"/>
    </row>
    <row r="907" spans="1:14">
      <c r="E907" s="2" t="s">
        <v>44</v>
      </c>
      <c r="G907"/>
      <c r="H907" s="8" t="s">
        <v>157</v>
      </c>
      <c r="I907"/>
      <c r="J907"/>
      <c r="L907"/>
      <c r="N907"/>
    </row>
    <row r="908" spans="1:14">
      <c r="E908" s="2" t="s">
        <v>45</v>
      </c>
      <c r="G908"/>
      <c r="H908" s="8" t="s">
        <v>158</v>
      </c>
      <c r="I908"/>
      <c r="J908"/>
      <c r="L908"/>
      <c r="N908" t="s">
        <v>275</v>
      </c>
    </row>
    <row r="909" spans="1:14">
      <c r="E909" s="2" t="s">
        <v>47</v>
      </c>
      <c r="G909"/>
      <c r="H909" s="8" t="s">
        <v>160</v>
      </c>
      <c r="I909"/>
      <c r="J909"/>
      <c r="L909"/>
      <c r="N909"/>
    </row>
    <row r="910" spans="1:14">
      <c r="E910" s="2" t="s">
        <v>48</v>
      </c>
      <c r="G910"/>
      <c r="H910" s="8" t="s">
        <v>161</v>
      </c>
      <c r="I910"/>
      <c r="J910"/>
      <c r="L910"/>
      <c r="N910"/>
    </row>
    <row r="911" spans="1:14">
      <c r="E911" s="2" t="s">
        <v>49</v>
      </c>
      <c r="G911"/>
      <c r="H911" s="8" t="s">
        <v>162</v>
      </c>
      <c r="I911"/>
      <c r="J911"/>
      <c r="L911"/>
      <c r="N911"/>
    </row>
    <row r="912" spans="1:14">
      <c r="E912" s="2" t="s">
        <v>50</v>
      </c>
      <c r="G912"/>
      <c r="H912" s="8" t="s">
        <v>163</v>
      </c>
      <c r="I912"/>
      <c r="J912"/>
      <c r="L912"/>
      <c r="N912"/>
    </row>
    <row r="913" spans="5:14">
      <c r="E913" s="2" t="s">
        <v>51</v>
      </c>
      <c r="G913"/>
      <c r="H913" s="8" t="s">
        <v>164</v>
      </c>
      <c r="I913"/>
      <c r="J913"/>
      <c r="L913"/>
      <c r="N913"/>
    </row>
    <row r="914" spans="5:14">
      <c r="E914" s="2" t="s">
        <v>53</v>
      </c>
      <c r="G914"/>
      <c r="H914" s="8" t="s">
        <v>165</v>
      </c>
      <c r="I914"/>
      <c r="J914"/>
      <c r="L914"/>
      <c r="N914"/>
    </row>
    <row r="915" spans="5:14">
      <c r="E915" s="2" t="s">
        <v>54</v>
      </c>
      <c r="G915"/>
      <c r="H915" s="8" t="s">
        <v>166</v>
      </c>
      <c r="I915"/>
      <c r="J915"/>
      <c r="L915"/>
      <c r="N915"/>
    </row>
    <row r="916" spans="5:14">
      <c r="E916" s="2" t="s">
        <v>55</v>
      </c>
      <c r="G916"/>
      <c r="H916" s="8" t="s">
        <v>167</v>
      </c>
      <c r="I916"/>
      <c r="J916"/>
      <c r="L916"/>
      <c r="N916"/>
    </row>
    <row r="917" spans="5:14">
      <c r="E917" s="2" t="s">
        <v>56</v>
      </c>
      <c r="G917"/>
      <c r="H917" s="8" t="s">
        <v>168</v>
      </c>
      <c r="I917"/>
      <c r="J917"/>
      <c r="L917"/>
      <c r="N917"/>
    </row>
    <row r="918" spans="5:14">
      <c r="E918" s="2" t="s">
        <v>57</v>
      </c>
      <c r="G918"/>
      <c r="H918" s="8" t="s">
        <v>169</v>
      </c>
      <c r="I918"/>
      <c r="J918"/>
      <c r="L918"/>
      <c r="N918" t="s">
        <v>276</v>
      </c>
    </row>
    <row r="919" spans="5:14">
      <c r="E919" s="2" t="s">
        <v>59</v>
      </c>
      <c r="G919"/>
      <c r="H919" s="8" t="s">
        <v>171</v>
      </c>
      <c r="I919"/>
      <c r="J919"/>
      <c r="L919"/>
      <c r="N919"/>
    </row>
    <row r="920" spans="5:14">
      <c r="E920" s="2" t="s">
        <v>60</v>
      </c>
      <c r="G920"/>
      <c r="H920" s="8" t="s">
        <v>172</v>
      </c>
      <c r="I920"/>
      <c r="J920"/>
      <c r="L920"/>
      <c r="N920"/>
    </row>
    <row r="921" spans="5:14">
      <c r="E921" s="2" t="s">
        <v>61</v>
      </c>
      <c r="G921"/>
      <c r="H921" s="8" t="s">
        <v>173</v>
      </c>
      <c r="I921"/>
      <c r="J921"/>
      <c r="L921"/>
      <c r="N921"/>
    </row>
    <row r="922" spans="5:14">
      <c r="E922" s="2" t="s">
        <v>62</v>
      </c>
      <c r="G922"/>
      <c r="H922" s="8" t="s">
        <v>174</v>
      </c>
      <c r="I922"/>
      <c r="J922"/>
      <c r="L922"/>
      <c r="N922"/>
    </row>
    <row r="923" spans="5:14">
      <c r="E923" s="2" t="s">
        <v>63</v>
      </c>
      <c r="G923"/>
      <c r="H923" s="8" t="s">
        <v>175</v>
      </c>
      <c r="I923"/>
      <c r="J923"/>
      <c r="L923"/>
      <c r="N923"/>
    </row>
    <row r="924" spans="5:14">
      <c r="E924" s="2" t="s">
        <v>65</v>
      </c>
      <c r="G924"/>
      <c r="H924" s="8" t="s">
        <v>176</v>
      </c>
      <c r="L924"/>
      <c r="N924"/>
    </row>
    <row r="925" spans="5:14">
      <c r="E925" s="2" t="s">
        <v>66</v>
      </c>
      <c r="G925"/>
      <c r="H925" s="8" t="s">
        <v>177</v>
      </c>
      <c r="L925"/>
      <c r="M925" s="7"/>
      <c r="N925"/>
    </row>
    <row r="926" spans="5:14">
      <c r="E926" s="2" t="s">
        <v>67</v>
      </c>
      <c r="G926"/>
      <c r="H926" s="8" t="s">
        <v>178</v>
      </c>
      <c r="L926"/>
      <c r="M926" s="7"/>
      <c r="N926"/>
    </row>
    <row r="927" spans="5:14">
      <c r="E927" s="2" t="s">
        <v>68</v>
      </c>
      <c r="G927"/>
      <c r="H927" s="8" t="s">
        <v>179</v>
      </c>
      <c r="L927"/>
      <c r="M927" s="7"/>
      <c r="N927"/>
    </row>
    <row r="928" spans="5:14">
      <c r="E928" s="2" t="s">
        <v>69</v>
      </c>
      <c r="G928"/>
      <c r="H928" s="8" t="s">
        <v>180</v>
      </c>
      <c r="L928"/>
      <c r="M928" s="7"/>
      <c r="N928" t="s">
        <v>277</v>
      </c>
    </row>
    <row r="929" spans="5:14">
      <c r="E929" s="2" t="s">
        <v>71</v>
      </c>
      <c r="G929"/>
      <c r="H929" s="8" t="s">
        <v>181</v>
      </c>
      <c r="L929"/>
      <c r="M929" s="7"/>
      <c r="N929"/>
    </row>
    <row r="930" spans="5:14">
      <c r="E930" s="2" t="s">
        <v>72</v>
      </c>
      <c r="G930"/>
      <c r="H930" s="8" t="s">
        <v>182</v>
      </c>
      <c r="L930"/>
      <c r="M930" s="7"/>
      <c r="N930"/>
    </row>
    <row r="931" spans="5:14">
      <c r="E931" s="2" t="s">
        <v>73</v>
      </c>
      <c r="G931"/>
      <c r="H931" s="8" t="s">
        <v>183</v>
      </c>
      <c r="L931"/>
      <c r="M931" s="7"/>
      <c r="N931"/>
    </row>
    <row r="932" spans="5:14">
      <c r="E932" s="2" t="s">
        <v>74</v>
      </c>
      <c r="G932"/>
      <c r="H932" s="8" t="s">
        <v>184</v>
      </c>
      <c r="L932"/>
      <c r="M932" s="7"/>
      <c r="N932"/>
    </row>
    <row r="933" spans="5:14">
      <c r="E933" s="2" t="s">
        <v>75</v>
      </c>
      <c r="G933"/>
      <c r="H933" s="8" t="s">
        <v>185</v>
      </c>
      <c r="L933"/>
      <c r="M933" s="7"/>
      <c r="N933"/>
    </row>
    <row r="934" spans="5:14">
      <c r="E934" s="2" t="s">
        <v>77</v>
      </c>
      <c r="G934"/>
      <c r="H934" s="8" t="s">
        <v>186</v>
      </c>
      <c r="L934"/>
      <c r="M934" s="7"/>
      <c r="N934"/>
    </row>
    <row r="935" spans="5:14">
      <c r="E935" s="2" t="s">
        <v>78</v>
      </c>
      <c r="G935"/>
      <c r="H935" s="8" t="s">
        <v>187</v>
      </c>
      <c r="L935"/>
      <c r="M935" s="7"/>
      <c r="N935"/>
    </row>
    <row r="936" spans="5:14">
      <c r="E936" s="2" t="s">
        <v>79</v>
      </c>
      <c r="G936"/>
      <c r="H936" s="8" t="s">
        <v>188</v>
      </c>
      <c r="L936"/>
      <c r="M936" s="7"/>
      <c r="N936"/>
    </row>
    <row r="937" spans="5:14">
      <c r="E937" s="2" t="s">
        <v>80</v>
      </c>
      <c r="G937"/>
      <c r="H937" s="8" t="s">
        <v>189</v>
      </c>
      <c r="L937"/>
      <c r="M937" s="7"/>
      <c r="N937"/>
    </row>
    <row r="938" spans="5:14">
      <c r="E938" s="2" t="s">
        <v>81</v>
      </c>
      <c r="G938"/>
      <c r="H938" s="8" t="s">
        <v>190</v>
      </c>
      <c r="L938"/>
      <c r="M938" s="7"/>
      <c r="N938" t="s">
        <v>278</v>
      </c>
    </row>
    <row r="939" spans="5:14">
      <c r="E939" s="2" t="s">
        <v>84</v>
      </c>
      <c r="G939"/>
      <c r="H939" s="8" t="s">
        <v>192</v>
      </c>
      <c r="L939"/>
      <c r="M939" s="7"/>
      <c r="N939"/>
    </row>
    <row r="940" spans="5:14">
      <c r="E940" s="2" t="s">
        <v>85</v>
      </c>
      <c r="G940"/>
      <c r="H940" s="8" t="s">
        <v>193</v>
      </c>
      <c r="L940"/>
      <c r="M940" s="7"/>
      <c r="N940"/>
    </row>
    <row r="941" spans="5:14">
      <c r="E941" s="2" t="s">
        <v>86</v>
      </c>
      <c r="G941"/>
      <c r="H941" s="8" t="s">
        <v>194</v>
      </c>
      <c r="L941"/>
      <c r="M941" s="7"/>
      <c r="N941"/>
    </row>
    <row r="942" spans="5:14">
      <c r="E942" s="2" t="s">
        <v>87</v>
      </c>
      <c r="G942"/>
      <c r="H942" s="8" t="s">
        <v>195</v>
      </c>
      <c r="L942"/>
      <c r="M942" s="7"/>
      <c r="N942"/>
    </row>
    <row r="943" spans="5:14">
      <c r="E943" s="2" t="s">
        <v>88</v>
      </c>
      <c r="G943"/>
      <c r="H943" s="8" t="s">
        <v>196</v>
      </c>
      <c r="L943"/>
      <c r="M943" s="7"/>
      <c r="N943"/>
    </row>
    <row r="944" spans="5:14">
      <c r="E944" s="2" t="s">
        <v>90</v>
      </c>
      <c r="G944"/>
      <c r="H944" s="8" t="s">
        <v>197</v>
      </c>
      <c r="L944"/>
      <c r="M944" s="7"/>
      <c r="N944"/>
    </row>
    <row r="945" spans="1:14">
      <c r="E945" s="2" t="s">
        <v>91</v>
      </c>
      <c r="G945"/>
      <c r="H945" s="8" t="s">
        <v>198</v>
      </c>
      <c r="L945"/>
      <c r="M945" s="7"/>
      <c r="N945"/>
    </row>
    <row r="946" spans="1:14">
      <c r="E946" s="2" t="s">
        <v>92</v>
      </c>
      <c r="G946"/>
      <c r="H946" s="8" t="s">
        <v>199</v>
      </c>
      <c r="L946"/>
      <c r="M946" s="7"/>
      <c r="N946"/>
    </row>
    <row r="947" spans="1:14">
      <c r="E947" s="2" t="s">
        <v>93</v>
      </c>
      <c r="G947"/>
      <c r="H947" s="8" t="s">
        <v>200</v>
      </c>
      <c r="L947"/>
      <c r="M947" s="7"/>
      <c r="N947"/>
    </row>
    <row r="948" spans="1:14">
      <c r="E948" s="2" t="s">
        <v>94</v>
      </c>
      <c r="G948"/>
      <c r="L948"/>
      <c r="M948" s="7"/>
      <c r="N948"/>
    </row>
    <row r="949" spans="1:14">
      <c r="G949"/>
      <c r="L949"/>
      <c r="M949" s="7"/>
      <c r="N949"/>
    </row>
    <row r="950" spans="1:14">
      <c r="A950" s="2" t="s">
        <v>279</v>
      </c>
      <c r="B950" s="2" t="s">
        <v>280</v>
      </c>
      <c r="E950" s="2" t="s">
        <v>34</v>
      </c>
      <c r="G950"/>
      <c r="H950" s="2" t="s">
        <v>222</v>
      </c>
      <c r="L950"/>
      <c r="N950"/>
    </row>
    <row r="951" spans="1:14">
      <c r="A951" s="2" t="s">
        <v>246</v>
      </c>
      <c r="E951" s="2" t="s">
        <v>36</v>
      </c>
      <c r="G951"/>
      <c r="H951" s="2" t="s">
        <v>223</v>
      </c>
      <c r="L951"/>
      <c r="N951"/>
    </row>
    <row r="952" spans="1:14">
      <c r="E952" s="2" t="s">
        <v>37</v>
      </c>
      <c r="G952"/>
      <c r="H952" s="2" t="s">
        <v>224</v>
      </c>
      <c r="L952"/>
      <c r="N952"/>
    </row>
    <row r="953" spans="1:14">
      <c r="E953" s="2" t="s">
        <v>38</v>
      </c>
      <c r="G953"/>
      <c r="H953" s="2" t="s">
        <v>225</v>
      </c>
      <c r="L953"/>
      <c r="N953"/>
    </row>
    <row r="954" spans="1:14">
      <c r="E954" s="2" t="s">
        <v>39</v>
      </c>
      <c r="G954"/>
      <c r="H954" s="2" t="s">
        <v>226</v>
      </c>
      <c r="L954"/>
      <c r="N954"/>
    </row>
    <row r="955" spans="1:14">
      <c r="E955" s="2" t="s">
        <v>41</v>
      </c>
      <c r="G955"/>
      <c r="H955" s="2" t="s">
        <v>227</v>
      </c>
      <c r="L955"/>
      <c r="N955"/>
    </row>
    <row r="956" spans="1:14">
      <c r="E956" s="2" t="s">
        <v>42</v>
      </c>
      <c r="G956"/>
      <c r="H956" s="2" t="s">
        <v>228</v>
      </c>
      <c r="L956"/>
      <c r="N956"/>
    </row>
    <row r="957" spans="1:14">
      <c r="E957" s="2" t="s">
        <v>43</v>
      </c>
      <c r="G957"/>
      <c r="H957" s="2" t="s">
        <v>229</v>
      </c>
      <c r="I957"/>
      <c r="J957"/>
      <c r="L957"/>
      <c r="N957"/>
    </row>
    <row r="958" spans="1:14">
      <c r="E958" s="2" t="s">
        <v>44</v>
      </c>
      <c r="G958"/>
      <c r="H958" s="2" t="s">
        <v>230</v>
      </c>
      <c r="L958"/>
      <c r="N958"/>
    </row>
    <row r="959" spans="1:14">
      <c r="E959" s="2" t="s">
        <v>45</v>
      </c>
      <c r="G959"/>
      <c r="I959"/>
      <c r="J959"/>
      <c r="L959"/>
      <c r="N959"/>
    </row>
    <row r="960" spans="1:14">
      <c r="E960" s="2" t="s">
        <v>47</v>
      </c>
      <c r="G960"/>
      <c r="L960"/>
      <c r="N960"/>
    </row>
    <row r="961" spans="1:14">
      <c r="E961" s="2" t="s">
        <v>48</v>
      </c>
      <c r="G961"/>
      <c r="L961"/>
      <c r="N961"/>
    </row>
    <row r="962" spans="1:14">
      <c r="G962"/>
      <c r="L962"/>
      <c r="N962"/>
    </row>
    <row r="963" spans="1:14">
      <c r="A963" s="2" t="s">
        <v>281</v>
      </c>
      <c r="B963" s="2" t="s">
        <v>282</v>
      </c>
      <c r="E963" s="2" t="s">
        <v>34</v>
      </c>
      <c r="G963"/>
      <c r="H963" s="8" t="s">
        <v>149</v>
      </c>
      <c r="L963"/>
      <c r="N963"/>
    </row>
    <row r="964" spans="1:14">
      <c r="E964" s="2" t="s">
        <v>36</v>
      </c>
      <c r="G964"/>
      <c r="H964" s="8" t="s">
        <v>150</v>
      </c>
      <c r="L964"/>
      <c r="N964"/>
    </row>
    <row r="965" spans="1:14">
      <c r="E965" s="2" t="s">
        <v>37</v>
      </c>
      <c r="G965"/>
      <c r="H965" s="8" t="s">
        <v>151</v>
      </c>
      <c r="L965"/>
      <c r="N965"/>
    </row>
    <row r="966" spans="1:14">
      <c r="E966" s="2" t="s">
        <v>38</v>
      </c>
      <c r="G966"/>
      <c r="H966" s="8" t="s">
        <v>152</v>
      </c>
      <c r="L966"/>
      <c r="N966"/>
    </row>
    <row r="967" spans="1:14">
      <c r="E967" s="2" t="s">
        <v>39</v>
      </c>
      <c r="G967"/>
      <c r="H967" s="8" t="s">
        <v>153</v>
      </c>
      <c r="L967"/>
      <c r="N967"/>
    </row>
    <row r="968" spans="1:14">
      <c r="E968" s="2" t="s">
        <v>41</v>
      </c>
      <c r="G968"/>
      <c r="H968" s="8" t="s">
        <v>154</v>
      </c>
      <c r="L968"/>
      <c r="N968"/>
    </row>
    <row r="969" spans="1:14">
      <c r="E969" s="2" t="s">
        <v>42</v>
      </c>
      <c r="G969"/>
      <c r="H969" s="8" t="s">
        <v>155</v>
      </c>
      <c r="L969"/>
      <c r="N969"/>
    </row>
    <row r="970" spans="1:14">
      <c r="E970" s="2" t="s">
        <v>43</v>
      </c>
      <c r="G970"/>
      <c r="H970" s="8" t="s">
        <v>156</v>
      </c>
      <c r="I970"/>
      <c r="J970"/>
      <c r="L970"/>
      <c r="N970"/>
    </row>
    <row r="971" spans="1:14">
      <c r="E971" s="2" t="s">
        <v>44</v>
      </c>
      <c r="G971"/>
      <c r="H971" s="8" t="s">
        <v>157</v>
      </c>
      <c r="L971"/>
      <c r="N971"/>
    </row>
    <row r="972" spans="1:14">
      <c r="E972" s="2" t="s">
        <v>45</v>
      </c>
      <c r="G972"/>
      <c r="H972" s="8" t="s">
        <v>158</v>
      </c>
      <c r="I972"/>
      <c r="J972"/>
      <c r="L972"/>
      <c r="N972" t="s">
        <v>283</v>
      </c>
    </row>
    <row r="973" spans="1:14">
      <c r="E973" s="2" t="s">
        <v>47</v>
      </c>
      <c r="G973"/>
      <c r="H973" s="8" t="s">
        <v>160</v>
      </c>
      <c r="L973"/>
      <c r="N973"/>
    </row>
    <row r="974" spans="1:14">
      <c r="E974" s="2" t="s">
        <v>48</v>
      </c>
      <c r="G974"/>
      <c r="H974" s="8" t="s">
        <v>161</v>
      </c>
      <c r="L974"/>
      <c r="N974"/>
    </row>
    <row r="975" spans="1:14">
      <c r="E975" s="2" t="s">
        <v>49</v>
      </c>
      <c r="G975"/>
      <c r="H975" s="8" t="s">
        <v>162</v>
      </c>
      <c r="L975"/>
      <c r="N975"/>
    </row>
    <row r="976" spans="1:14">
      <c r="E976" s="2" t="s">
        <v>50</v>
      </c>
      <c r="G976"/>
      <c r="H976" s="8" t="s">
        <v>163</v>
      </c>
      <c r="L976"/>
      <c r="N976"/>
    </row>
    <row r="977" spans="5:14">
      <c r="E977" s="2" t="s">
        <v>51</v>
      </c>
      <c r="G977"/>
      <c r="H977" s="8" t="s">
        <v>164</v>
      </c>
      <c r="I977"/>
      <c r="J977"/>
      <c r="L977"/>
      <c r="N977"/>
    </row>
    <row r="978" spans="5:14">
      <c r="E978" s="2" t="s">
        <v>53</v>
      </c>
      <c r="G978"/>
      <c r="H978" s="8" t="s">
        <v>165</v>
      </c>
      <c r="L978"/>
      <c r="N978"/>
    </row>
    <row r="979" spans="5:14">
      <c r="E979" s="2" t="s">
        <v>54</v>
      </c>
      <c r="G979"/>
      <c r="H979" s="8" t="s">
        <v>166</v>
      </c>
      <c r="L979"/>
      <c r="N979"/>
    </row>
    <row r="980" spans="5:14">
      <c r="E980" s="2" t="s">
        <v>55</v>
      </c>
      <c r="G980"/>
      <c r="H980" s="8" t="s">
        <v>167</v>
      </c>
      <c r="L980"/>
      <c r="N980"/>
    </row>
    <row r="981" spans="5:14">
      <c r="E981" s="2" t="s">
        <v>56</v>
      </c>
      <c r="G981"/>
      <c r="H981" s="8" t="s">
        <v>168</v>
      </c>
      <c r="L981"/>
      <c r="N981"/>
    </row>
    <row r="982" spans="5:14">
      <c r="E982" s="2" t="s">
        <v>57</v>
      </c>
      <c r="G982"/>
      <c r="H982" s="8" t="s">
        <v>169</v>
      </c>
      <c r="L982"/>
      <c r="N982" t="s">
        <v>284</v>
      </c>
    </row>
    <row r="983" spans="5:14">
      <c r="E983" s="2" t="s">
        <v>59</v>
      </c>
      <c r="G983"/>
      <c r="H983" s="8" t="s">
        <v>171</v>
      </c>
      <c r="L983"/>
      <c r="N983"/>
    </row>
    <row r="984" spans="5:14">
      <c r="E984" s="2" t="s">
        <v>60</v>
      </c>
      <c r="G984"/>
      <c r="H984" s="8" t="s">
        <v>172</v>
      </c>
      <c r="L984"/>
      <c r="N984"/>
    </row>
    <row r="985" spans="5:14">
      <c r="E985" s="2" t="s">
        <v>61</v>
      </c>
      <c r="G985"/>
      <c r="H985" s="8" t="s">
        <v>173</v>
      </c>
      <c r="L985"/>
      <c r="N985"/>
    </row>
    <row r="986" spans="5:14">
      <c r="E986" s="2" t="s">
        <v>62</v>
      </c>
      <c r="G986"/>
      <c r="H986" s="8" t="s">
        <v>174</v>
      </c>
      <c r="L986"/>
      <c r="N986"/>
    </row>
    <row r="987" spans="5:14">
      <c r="E987" s="2" t="s">
        <v>63</v>
      </c>
      <c r="G987"/>
      <c r="H987" s="8" t="s">
        <v>175</v>
      </c>
      <c r="L987"/>
      <c r="N987"/>
    </row>
    <row r="988" spans="5:14">
      <c r="E988" s="2" t="s">
        <v>65</v>
      </c>
      <c r="G988"/>
      <c r="H988" s="8" t="s">
        <v>176</v>
      </c>
      <c r="L988"/>
      <c r="N988"/>
    </row>
    <row r="989" spans="5:14">
      <c r="E989" s="2" t="s">
        <v>66</v>
      </c>
      <c r="G989"/>
      <c r="H989" s="8" t="s">
        <v>177</v>
      </c>
      <c r="L989"/>
      <c r="N989"/>
    </row>
    <row r="990" spans="5:14">
      <c r="E990" s="2" t="s">
        <v>67</v>
      </c>
      <c r="G990"/>
      <c r="H990" s="8" t="s">
        <v>178</v>
      </c>
      <c r="L990"/>
      <c r="N990"/>
    </row>
    <row r="991" spans="5:14">
      <c r="E991" s="2" t="s">
        <v>68</v>
      </c>
      <c r="G991"/>
      <c r="H991" s="8" t="s">
        <v>179</v>
      </c>
      <c r="L991"/>
      <c r="N991"/>
    </row>
    <row r="992" spans="5:14">
      <c r="E992" s="2" t="s">
        <v>69</v>
      </c>
      <c r="G992"/>
      <c r="H992" s="8" t="s">
        <v>180</v>
      </c>
      <c r="L992"/>
      <c r="N992" t="s">
        <v>285</v>
      </c>
    </row>
    <row r="993" spans="5:14">
      <c r="E993" s="2" t="s">
        <v>71</v>
      </c>
      <c r="G993"/>
      <c r="H993" s="8" t="s">
        <v>181</v>
      </c>
      <c r="L993"/>
      <c r="N993"/>
    </row>
    <row r="994" spans="5:14">
      <c r="E994" s="2" t="s">
        <v>72</v>
      </c>
      <c r="G994"/>
      <c r="H994" s="8" t="s">
        <v>182</v>
      </c>
      <c r="L994"/>
      <c r="N994"/>
    </row>
    <row r="995" spans="5:14">
      <c r="E995" s="2" t="s">
        <v>73</v>
      </c>
      <c r="G995"/>
      <c r="H995" s="8" t="s">
        <v>183</v>
      </c>
      <c r="L995"/>
      <c r="N995"/>
    </row>
    <row r="996" spans="5:14">
      <c r="E996" s="2" t="s">
        <v>74</v>
      </c>
      <c r="G996"/>
      <c r="H996" s="8" t="s">
        <v>184</v>
      </c>
      <c r="L996"/>
      <c r="N996"/>
    </row>
    <row r="997" spans="5:14">
      <c r="E997" s="2" t="s">
        <v>75</v>
      </c>
      <c r="G997"/>
      <c r="H997" s="8" t="s">
        <v>185</v>
      </c>
      <c r="L997"/>
      <c r="N997"/>
    </row>
    <row r="998" spans="5:14">
      <c r="E998" s="2" t="s">
        <v>77</v>
      </c>
      <c r="G998"/>
      <c r="H998" s="8" t="s">
        <v>186</v>
      </c>
      <c r="L998"/>
      <c r="N998"/>
    </row>
    <row r="999" spans="5:14">
      <c r="E999" s="2" t="s">
        <v>78</v>
      </c>
      <c r="G999"/>
      <c r="H999" s="8" t="s">
        <v>187</v>
      </c>
      <c r="L999"/>
      <c r="N999"/>
    </row>
    <row r="1000" spans="5:14">
      <c r="E1000" s="2" t="s">
        <v>79</v>
      </c>
      <c r="G1000"/>
      <c r="H1000" s="8" t="s">
        <v>188</v>
      </c>
      <c r="L1000"/>
      <c r="N1000"/>
    </row>
    <row r="1001" spans="5:14">
      <c r="E1001" s="2" t="s">
        <v>80</v>
      </c>
      <c r="G1001"/>
      <c r="H1001" s="8" t="s">
        <v>189</v>
      </c>
      <c r="L1001"/>
      <c r="N1001"/>
    </row>
    <row r="1002" spans="5:14">
      <c r="E1002" s="2" t="s">
        <v>81</v>
      </c>
      <c r="G1002"/>
      <c r="H1002" s="8" t="s">
        <v>190</v>
      </c>
      <c r="L1002"/>
      <c r="N1002" t="s">
        <v>286</v>
      </c>
    </row>
    <row r="1003" spans="5:14">
      <c r="E1003" s="2" t="s">
        <v>84</v>
      </c>
      <c r="G1003"/>
      <c r="H1003" s="8" t="s">
        <v>192</v>
      </c>
      <c r="L1003"/>
      <c r="N1003"/>
    </row>
    <row r="1004" spans="5:14">
      <c r="E1004" s="2" t="s">
        <v>85</v>
      </c>
      <c r="G1004"/>
      <c r="H1004" s="8" t="s">
        <v>193</v>
      </c>
      <c r="L1004"/>
      <c r="N1004"/>
    </row>
    <row r="1005" spans="5:14">
      <c r="E1005" s="2" t="s">
        <v>86</v>
      </c>
      <c r="G1005"/>
      <c r="H1005" s="8" t="s">
        <v>194</v>
      </c>
      <c r="L1005"/>
      <c r="N1005"/>
    </row>
    <row r="1006" spans="5:14">
      <c r="E1006" s="2" t="s">
        <v>87</v>
      </c>
      <c r="G1006"/>
      <c r="H1006" s="8" t="s">
        <v>195</v>
      </c>
      <c r="L1006"/>
      <c r="N1006"/>
    </row>
    <row r="1007" spans="5:14">
      <c r="E1007" s="2" t="s">
        <v>88</v>
      </c>
      <c r="G1007"/>
      <c r="H1007" s="8" t="s">
        <v>196</v>
      </c>
      <c r="L1007"/>
      <c r="N1007"/>
    </row>
    <row r="1008" spans="5:14">
      <c r="E1008" s="2" t="s">
        <v>90</v>
      </c>
      <c r="G1008"/>
      <c r="H1008" s="8" t="s">
        <v>197</v>
      </c>
      <c r="L1008"/>
      <c r="N1008"/>
    </row>
    <row r="1009" spans="1:14">
      <c r="E1009" s="2" t="s">
        <v>91</v>
      </c>
      <c r="G1009"/>
      <c r="H1009" s="8" t="s">
        <v>198</v>
      </c>
      <c r="L1009"/>
      <c r="N1009"/>
    </row>
    <row r="1010" spans="1:14">
      <c r="E1010" s="2" t="s">
        <v>92</v>
      </c>
      <c r="G1010"/>
      <c r="H1010" s="8" t="s">
        <v>199</v>
      </c>
      <c r="L1010"/>
      <c r="N1010"/>
    </row>
    <row r="1011" spans="1:14">
      <c r="E1011" s="2" t="s">
        <v>93</v>
      </c>
      <c r="G1011"/>
      <c r="H1011" s="8" t="s">
        <v>200</v>
      </c>
      <c r="L1011"/>
      <c r="N1011"/>
    </row>
    <row r="1012" spans="1:14">
      <c r="E1012" s="2" t="s">
        <v>94</v>
      </c>
      <c r="G1012"/>
      <c r="L1012"/>
      <c r="N1012"/>
    </row>
    <row r="1013" spans="1:14">
      <c r="G1013"/>
      <c r="L1013"/>
      <c r="N1013"/>
    </row>
    <row r="1014" spans="1:14">
      <c r="A1014" s="2" t="s">
        <v>287</v>
      </c>
      <c r="B1014" s="2" t="s">
        <v>288</v>
      </c>
      <c r="E1014" s="2" t="s">
        <v>34</v>
      </c>
      <c r="G1014"/>
      <c r="H1014" s="8" t="s">
        <v>149</v>
      </c>
      <c r="L1014"/>
      <c r="N1014"/>
    </row>
    <row r="1015" spans="1:14">
      <c r="E1015" s="2" t="s">
        <v>36</v>
      </c>
      <c r="G1015"/>
      <c r="H1015" s="8" t="s">
        <v>150</v>
      </c>
      <c r="L1015"/>
      <c r="N1015"/>
    </row>
    <row r="1016" spans="1:14">
      <c r="E1016" s="2" t="s">
        <v>37</v>
      </c>
      <c r="G1016"/>
      <c r="H1016" s="8" t="s">
        <v>151</v>
      </c>
      <c r="L1016"/>
      <c r="N1016"/>
    </row>
    <row r="1017" spans="1:14">
      <c r="E1017" s="2" t="s">
        <v>38</v>
      </c>
      <c r="G1017"/>
      <c r="H1017" s="8" t="s">
        <v>152</v>
      </c>
      <c r="L1017"/>
      <c r="N1017"/>
    </row>
    <row r="1018" spans="1:14">
      <c r="E1018" s="2" t="s">
        <v>39</v>
      </c>
      <c r="G1018"/>
      <c r="H1018" s="8" t="s">
        <v>153</v>
      </c>
      <c r="L1018"/>
      <c r="N1018"/>
    </row>
    <row r="1019" spans="1:14">
      <c r="E1019" s="2" t="s">
        <v>41</v>
      </c>
      <c r="G1019"/>
      <c r="H1019" s="8" t="s">
        <v>154</v>
      </c>
      <c r="L1019"/>
      <c r="N1019"/>
    </row>
    <row r="1020" spans="1:14">
      <c r="E1020" s="2" t="s">
        <v>42</v>
      </c>
      <c r="G1020"/>
      <c r="H1020" s="8" t="s">
        <v>155</v>
      </c>
      <c r="L1020"/>
      <c r="N1020"/>
    </row>
    <row r="1021" spans="1:14">
      <c r="E1021" s="2" t="s">
        <v>43</v>
      </c>
      <c r="G1021"/>
      <c r="H1021" s="8" t="s">
        <v>156</v>
      </c>
      <c r="I1021"/>
      <c r="J1021"/>
      <c r="L1021"/>
      <c r="N1021"/>
    </row>
    <row r="1022" spans="1:14">
      <c r="E1022" s="2" t="s">
        <v>44</v>
      </c>
      <c r="G1022"/>
      <c r="H1022" s="8" t="s">
        <v>157</v>
      </c>
      <c r="L1022"/>
      <c r="N1022"/>
    </row>
    <row r="1023" spans="1:14">
      <c r="E1023" s="2" t="s">
        <v>45</v>
      </c>
      <c r="G1023"/>
      <c r="H1023" s="8" t="s">
        <v>158</v>
      </c>
      <c r="I1023"/>
      <c r="J1023"/>
      <c r="L1023"/>
      <c r="N1023" t="s">
        <v>289</v>
      </c>
    </row>
    <row r="1024" spans="1:14">
      <c r="E1024" s="2" t="s">
        <v>47</v>
      </c>
      <c r="G1024"/>
      <c r="H1024" s="8" t="s">
        <v>160</v>
      </c>
      <c r="L1024"/>
      <c r="N1024"/>
    </row>
    <row r="1025" spans="5:14">
      <c r="E1025" s="2" t="s">
        <v>48</v>
      </c>
      <c r="G1025"/>
      <c r="H1025" s="8" t="s">
        <v>161</v>
      </c>
      <c r="L1025"/>
      <c r="N1025"/>
    </row>
    <row r="1026" spans="5:14">
      <c r="E1026" s="2" t="s">
        <v>49</v>
      </c>
      <c r="G1026"/>
      <c r="H1026" s="8" t="s">
        <v>162</v>
      </c>
      <c r="L1026"/>
      <c r="N1026"/>
    </row>
    <row r="1027" spans="5:14">
      <c r="E1027" s="2" t="s">
        <v>50</v>
      </c>
      <c r="G1027"/>
      <c r="H1027" s="8" t="s">
        <v>163</v>
      </c>
      <c r="L1027"/>
      <c r="N1027"/>
    </row>
    <row r="1028" spans="5:14">
      <c r="E1028" s="2" t="s">
        <v>51</v>
      </c>
      <c r="G1028"/>
      <c r="H1028" s="8" t="s">
        <v>164</v>
      </c>
      <c r="I1028"/>
      <c r="J1028"/>
      <c r="L1028"/>
      <c r="N1028"/>
    </row>
    <row r="1029" spans="5:14">
      <c r="E1029" s="2" t="s">
        <v>53</v>
      </c>
      <c r="G1029"/>
      <c r="H1029" s="8" t="s">
        <v>165</v>
      </c>
      <c r="L1029"/>
      <c r="N1029"/>
    </row>
    <row r="1030" spans="5:14">
      <c r="E1030" s="2" t="s">
        <v>54</v>
      </c>
      <c r="G1030"/>
      <c r="H1030" s="8" t="s">
        <v>166</v>
      </c>
      <c r="L1030"/>
      <c r="N1030"/>
    </row>
    <row r="1031" spans="5:14">
      <c r="E1031" s="2" t="s">
        <v>55</v>
      </c>
      <c r="G1031"/>
      <c r="H1031" s="8" t="s">
        <v>167</v>
      </c>
      <c r="L1031"/>
      <c r="N1031"/>
    </row>
    <row r="1032" spans="5:14">
      <c r="E1032" s="2" t="s">
        <v>56</v>
      </c>
      <c r="G1032"/>
      <c r="H1032" s="8" t="s">
        <v>168</v>
      </c>
      <c r="L1032"/>
      <c r="N1032"/>
    </row>
    <row r="1033" spans="5:14">
      <c r="E1033" s="2" t="s">
        <v>57</v>
      </c>
      <c r="G1033"/>
      <c r="H1033" s="8" t="s">
        <v>169</v>
      </c>
      <c r="L1033"/>
      <c r="N1033" t="s">
        <v>253</v>
      </c>
    </row>
    <row r="1034" spans="5:14">
      <c r="E1034" s="2" t="s">
        <v>59</v>
      </c>
      <c r="G1034"/>
      <c r="H1034" s="8" t="s">
        <v>171</v>
      </c>
      <c r="L1034"/>
      <c r="N1034"/>
    </row>
    <row r="1035" spans="5:14">
      <c r="E1035" s="2" t="s">
        <v>60</v>
      </c>
      <c r="G1035"/>
      <c r="H1035" s="8" t="s">
        <v>172</v>
      </c>
      <c r="L1035"/>
      <c r="N1035"/>
    </row>
    <row r="1036" spans="5:14">
      <c r="E1036" s="2" t="s">
        <v>61</v>
      </c>
      <c r="G1036"/>
      <c r="H1036" s="8" t="s">
        <v>173</v>
      </c>
      <c r="L1036"/>
      <c r="N1036"/>
    </row>
    <row r="1037" spans="5:14">
      <c r="E1037" s="2" t="s">
        <v>62</v>
      </c>
      <c r="G1037"/>
      <c r="H1037" s="8" t="s">
        <v>174</v>
      </c>
      <c r="L1037"/>
      <c r="N1037"/>
    </row>
    <row r="1038" spans="5:14">
      <c r="E1038" s="2" t="s">
        <v>63</v>
      </c>
      <c r="G1038"/>
      <c r="H1038" s="8" t="s">
        <v>175</v>
      </c>
      <c r="L1038"/>
      <c r="N1038"/>
    </row>
    <row r="1039" spans="5:14">
      <c r="E1039" s="2" t="s">
        <v>65</v>
      </c>
      <c r="G1039"/>
      <c r="H1039" s="8" t="s">
        <v>176</v>
      </c>
      <c r="I1039"/>
      <c r="J1039"/>
      <c r="L1039"/>
      <c r="N1039"/>
    </row>
    <row r="1040" spans="5:14">
      <c r="E1040" s="2" t="s">
        <v>66</v>
      </c>
      <c r="G1040"/>
      <c r="H1040" s="8" t="s">
        <v>177</v>
      </c>
      <c r="I1040"/>
      <c r="J1040"/>
      <c r="L1040"/>
    </row>
    <row r="1041" spans="5:14">
      <c r="E1041" s="2" t="s">
        <v>67</v>
      </c>
      <c r="G1041"/>
      <c r="H1041" s="8" t="s">
        <v>178</v>
      </c>
      <c r="I1041"/>
      <c r="J1041"/>
      <c r="L1041"/>
    </row>
    <row r="1042" spans="5:14">
      <c r="E1042" s="2" t="s">
        <v>68</v>
      </c>
      <c r="G1042"/>
      <c r="H1042" s="8" t="s">
        <v>179</v>
      </c>
      <c r="I1042"/>
      <c r="J1042"/>
      <c r="L1042"/>
    </row>
    <row r="1043" spans="5:14">
      <c r="E1043" s="2" t="s">
        <v>69</v>
      </c>
      <c r="G1043"/>
      <c r="H1043" s="8" t="s">
        <v>180</v>
      </c>
      <c r="I1043"/>
      <c r="J1043"/>
      <c r="L1043"/>
      <c r="N1043" s="2" t="s">
        <v>290</v>
      </c>
    </row>
    <row r="1044" spans="5:14">
      <c r="E1044" s="2" t="s">
        <v>71</v>
      </c>
      <c r="G1044"/>
      <c r="H1044" s="8" t="s">
        <v>181</v>
      </c>
      <c r="I1044"/>
      <c r="J1044"/>
      <c r="L1044"/>
    </row>
    <row r="1045" spans="5:14">
      <c r="E1045" s="2" t="s">
        <v>72</v>
      </c>
      <c r="G1045"/>
      <c r="H1045" s="8" t="s">
        <v>182</v>
      </c>
      <c r="I1045"/>
      <c r="J1045"/>
      <c r="L1045"/>
    </row>
    <row r="1046" spans="5:14">
      <c r="E1046" s="2" t="s">
        <v>73</v>
      </c>
      <c r="G1046"/>
      <c r="H1046" s="8" t="s">
        <v>183</v>
      </c>
      <c r="I1046"/>
      <c r="J1046"/>
      <c r="L1046"/>
    </row>
    <row r="1047" spans="5:14">
      <c r="E1047" s="2" t="s">
        <v>74</v>
      </c>
      <c r="G1047"/>
      <c r="H1047" s="8" t="s">
        <v>184</v>
      </c>
      <c r="I1047"/>
      <c r="J1047"/>
      <c r="L1047"/>
    </row>
    <row r="1048" spans="5:14">
      <c r="E1048" s="2" t="s">
        <v>75</v>
      </c>
      <c r="G1048"/>
      <c r="H1048" s="8" t="s">
        <v>185</v>
      </c>
      <c r="I1048"/>
      <c r="J1048"/>
      <c r="L1048"/>
    </row>
    <row r="1049" spans="5:14">
      <c r="E1049" s="2" t="s">
        <v>77</v>
      </c>
      <c r="G1049"/>
      <c r="H1049" s="8" t="s">
        <v>186</v>
      </c>
      <c r="I1049"/>
      <c r="J1049"/>
      <c r="L1049"/>
    </row>
    <row r="1050" spans="5:14">
      <c r="E1050" s="2" t="s">
        <v>78</v>
      </c>
      <c r="G1050"/>
      <c r="H1050" s="8" t="s">
        <v>187</v>
      </c>
      <c r="I1050"/>
      <c r="J1050"/>
    </row>
    <row r="1051" spans="5:14">
      <c r="E1051" s="2" t="s">
        <v>79</v>
      </c>
      <c r="G1051"/>
      <c r="H1051" s="8" t="s">
        <v>188</v>
      </c>
      <c r="I1051"/>
      <c r="J1051"/>
    </row>
    <row r="1052" spans="5:14">
      <c r="E1052" s="2" t="s">
        <v>80</v>
      </c>
      <c r="G1052"/>
      <c r="H1052" s="8" t="s">
        <v>189</v>
      </c>
      <c r="I1052"/>
      <c r="J1052"/>
      <c r="L1052"/>
    </row>
    <row r="1053" spans="5:14">
      <c r="E1053" s="2" t="s">
        <v>81</v>
      </c>
      <c r="G1053"/>
      <c r="H1053" s="8" t="s">
        <v>190</v>
      </c>
      <c r="I1053"/>
      <c r="J1053"/>
      <c r="L1053"/>
      <c r="N1053" s="2" t="s">
        <v>291</v>
      </c>
    </row>
    <row r="1054" spans="5:14">
      <c r="E1054" s="2" t="s">
        <v>84</v>
      </c>
      <c r="G1054"/>
      <c r="H1054" s="8" t="s">
        <v>192</v>
      </c>
      <c r="I1054"/>
      <c r="J1054"/>
      <c r="L1054"/>
    </row>
    <row r="1055" spans="5:14">
      <c r="E1055" s="2" t="s">
        <v>85</v>
      </c>
      <c r="G1055"/>
      <c r="H1055" s="8" t="s">
        <v>193</v>
      </c>
      <c r="I1055"/>
      <c r="J1055"/>
      <c r="L1055"/>
    </row>
    <row r="1056" spans="5:14">
      <c r="E1056" s="2" t="s">
        <v>86</v>
      </c>
      <c r="G1056"/>
      <c r="H1056" s="8" t="s">
        <v>194</v>
      </c>
      <c r="I1056"/>
      <c r="J1056"/>
      <c r="L1056"/>
    </row>
    <row r="1057" spans="1:14">
      <c r="E1057" s="2" t="s">
        <v>87</v>
      </c>
      <c r="G1057"/>
      <c r="H1057" s="8" t="s">
        <v>195</v>
      </c>
      <c r="I1057"/>
      <c r="J1057"/>
      <c r="L1057"/>
    </row>
    <row r="1058" spans="1:14">
      <c r="E1058" s="2" t="s">
        <v>88</v>
      </c>
      <c r="G1058"/>
      <c r="H1058" s="8" t="s">
        <v>196</v>
      </c>
      <c r="I1058"/>
      <c r="J1058"/>
      <c r="L1058"/>
    </row>
    <row r="1059" spans="1:14">
      <c r="E1059" s="2" t="s">
        <v>90</v>
      </c>
      <c r="G1059"/>
      <c r="H1059" s="8" t="s">
        <v>197</v>
      </c>
      <c r="I1059"/>
      <c r="J1059"/>
      <c r="L1059"/>
    </row>
    <row r="1060" spans="1:14">
      <c r="E1060" s="2" t="s">
        <v>91</v>
      </c>
      <c r="G1060"/>
      <c r="H1060" s="8" t="s">
        <v>198</v>
      </c>
      <c r="I1060"/>
      <c r="J1060"/>
      <c r="L1060"/>
    </row>
    <row r="1061" spans="1:14">
      <c r="E1061" s="2" t="s">
        <v>92</v>
      </c>
      <c r="G1061"/>
      <c r="H1061" s="8" t="s">
        <v>199</v>
      </c>
      <c r="I1061"/>
      <c r="J1061"/>
      <c r="L1061"/>
    </row>
    <row r="1062" spans="1:14">
      <c r="E1062" s="2" t="s">
        <v>93</v>
      </c>
      <c r="G1062"/>
      <c r="H1062" s="8" t="s">
        <v>200</v>
      </c>
      <c r="I1062"/>
      <c r="J1062"/>
      <c r="L1062"/>
    </row>
    <row r="1063" spans="1:14">
      <c r="E1063" s="2" t="s">
        <v>94</v>
      </c>
      <c r="G1063"/>
      <c r="I1063"/>
      <c r="J1063"/>
      <c r="L1063"/>
    </row>
    <row r="1064" spans="1:14">
      <c r="G1064"/>
      <c r="L1064"/>
      <c r="N1064"/>
    </row>
    <row r="1065" spans="1:14">
      <c r="A1065" s="2" t="s">
        <v>292</v>
      </c>
      <c r="B1065" s="2" t="s">
        <v>293</v>
      </c>
      <c r="E1065" s="2" t="s">
        <v>34</v>
      </c>
      <c r="G1065"/>
      <c r="H1065" s="8" t="s">
        <v>149</v>
      </c>
      <c r="L1065"/>
      <c r="N1065"/>
    </row>
    <row r="1066" spans="1:14">
      <c r="E1066" s="2" t="s">
        <v>36</v>
      </c>
      <c r="G1066"/>
      <c r="H1066" s="8" t="s">
        <v>150</v>
      </c>
      <c r="L1066"/>
      <c r="N1066"/>
    </row>
    <row r="1067" spans="1:14">
      <c r="E1067" s="2" t="s">
        <v>37</v>
      </c>
      <c r="G1067"/>
      <c r="H1067" s="8" t="s">
        <v>151</v>
      </c>
      <c r="L1067"/>
      <c r="N1067"/>
    </row>
    <row r="1068" spans="1:14">
      <c r="E1068" s="2" t="s">
        <v>38</v>
      </c>
      <c r="G1068"/>
      <c r="H1068" s="8" t="s">
        <v>152</v>
      </c>
      <c r="L1068"/>
      <c r="N1068"/>
    </row>
    <row r="1069" spans="1:14">
      <c r="E1069" s="2" t="s">
        <v>39</v>
      </c>
      <c r="G1069"/>
      <c r="H1069" s="8" t="s">
        <v>153</v>
      </c>
      <c r="L1069"/>
      <c r="N1069"/>
    </row>
    <row r="1070" spans="1:14">
      <c r="E1070" s="2" t="s">
        <v>41</v>
      </c>
      <c r="G1070"/>
      <c r="H1070" s="8" t="s">
        <v>154</v>
      </c>
      <c r="L1070"/>
      <c r="N1070"/>
    </row>
    <row r="1071" spans="1:14">
      <c r="E1071" s="2" t="s">
        <v>42</v>
      </c>
      <c r="G1071"/>
      <c r="H1071" s="8" t="s">
        <v>155</v>
      </c>
      <c r="L1071"/>
      <c r="N1071"/>
    </row>
    <row r="1072" spans="1:14">
      <c r="E1072" s="2" t="s">
        <v>43</v>
      </c>
      <c r="G1072"/>
      <c r="H1072" s="8" t="s">
        <v>156</v>
      </c>
      <c r="I1072"/>
      <c r="J1072"/>
      <c r="L1072"/>
      <c r="N1072"/>
    </row>
    <row r="1073" spans="5:14">
      <c r="E1073" s="2" t="s">
        <v>44</v>
      </c>
      <c r="G1073"/>
      <c r="H1073" s="8" t="s">
        <v>157</v>
      </c>
      <c r="L1073"/>
      <c r="N1073"/>
    </row>
    <row r="1074" spans="5:14">
      <c r="E1074" s="2" t="s">
        <v>45</v>
      </c>
      <c r="G1074"/>
      <c r="H1074" s="8" t="s">
        <v>158</v>
      </c>
      <c r="I1074"/>
      <c r="J1074"/>
      <c r="L1074"/>
      <c r="N1074" t="s">
        <v>217</v>
      </c>
    </row>
    <row r="1075" spans="5:14">
      <c r="E1075" s="2" t="s">
        <v>47</v>
      </c>
      <c r="G1075"/>
      <c r="H1075" s="8" t="s">
        <v>160</v>
      </c>
      <c r="L1075"/>
      <c r="N1075"/>
    </row>
    <row r="1076" spans="5:14">
      <c r="E1076" s="2" t="s">
        <v>48</v>
      </c>
      <c r="G1076"/>
      <c r="H1076" s="8" t="s">
        <v>161</v>
      </c>
      <c r="L1076"/>
      <c r="N1076"/>
    </row>
    <row r="1077" spans="5:14">
      <c r="E1077" s="2" t="s">
        <v>49</v>
      </c>
      <c r="G1077"/>
      <c r="H1077" s="8" t="s">
        <v>162</v>
      </c>
      <c r="L1077"/>
      <c r="N1077"/>
    </row>
    <row r="1078" spans="5:14">
      <c r="E1078" s="2" t="s">
        <v>50</v>
      </c>
      <c r="G1078"/>
      <c r="H1078" s="8" t="s">
        <v>163</v>
      </c>
      <c r="L1078"/>
      <c r="N1078"/>
    </row>
    <row r="1079" spans="5:14">
      <c r="E1079" s="2" t="s">
        <v>51</v>
      </c>
      <c r="G1079"/>
      <c r="H1079" s="8" t="s">
        <v>164</v>
      </c>
      <c r="I1079"/>
      <c r="J1079"/>
      <c r="L1079"/>
      <c r="N1079"/>
    </row>
    <row r="1080" spans="5:14">
      <c r="E1080" s="2" t="s">
        <v>53</v>
      </c>
      <c r="G1080"/>
      <c r="H1080" s="8" t="s">
        <v>165</v>
      </c>
      <c r="L1080"/>
      <c r="N1080"/>
    </row>
    <row r="1081" spans="5:14">
      <c r="E1081" s="2" t="s">
        <v>54</v>
      </c>
      <c r="G1081"/>
      <c r="H1081" s="8" t="s">
        <v>166</v>
      </c>
      <c r="L1081"/>
      <c r="N1081"/>
    </row>
    <row r="1082" spans="5:14">
      <c r="E1082" s="2" t="s">
        <v>55</v>
      </c>
      <c r="G1082"/>
      <c r="H1082" s="8" t="s">
        <v>167</v>
      </c>
      <c r="L1082"/>
      <c r="N1082"/>
    </row>
    <row r="1083" spans="5:14">
      <c r="E1083" s="2" t="s">
        <v>56</v>
      </c>
      <c r="G1083"/>
      <c r="H1083" s="8" t="s">
        <v>168</v>
      </c>
      <c r="L1083"/>
      <c r="N1083"/>
    </row>
    <row r="1084" spans="5:14">
      <c r="E1084" s="2" t="s">
        <v>57</v>
      </c>
      <c r="G1084"/>
      <c r="H1084" s="8" t="s">
        <v>169</v>
      </c>
      <c r="L1084"/>
      <c r="N1084" t="s">
        <v>294</v>
      </c>
    </row>
    <row r="1085" spans="5:14">
      <c r="E1085" s="2" t="s">
        <v>59</v>
      </c>
      <c r="G1085"/>
      <c r="H1085" s="8" t="s">
        <v>171</v>
      </c>
      <c r="L1085"/>
      <c r="N1085"/>
    </row>
    <row r="1086" spans="5:14">
      <c r="E1086" s="2" t="s">
        <v>60</v>
      </c>
      <c r="G1086"/>
      <c r="H1086" s="8" t="s">
        <v>172</v>
      </c>
      <c r="L1086"/>
      <c r="N1086"/>
    </row>
    <row r="1087" spans="5:14">
      <c r="E1087" s="2" t="s">
        <v>61</v>
      </c>
      <c r="G1087"/>
      <c r="H1087" s="8" t="s">
        <v>173</v>
      </c>
      <c r="L1087"/>
      <c r="N1087"/>
    </row>
    <row r="1088" spans="5:14">
      <c r="E1088" s="2" t="s">
        <v>62</v>
      </c>
      <c r="G1088"/>
      <c r="H1088" s="8" t="s">
        <v>174</v>
      </c>
      <c r="L1088"/>
      <c r="N1088"/>
    </row>
    <row r="1089" spans="5:14">
      <c r="E1089" s="2" t="s">
        <v>63</v>
      </c>
      <c r="G1089"/>
      <c r="H1089" s="8" t="s">
        <v>175</v>
      </c>
      <c r="L1089"/>
      <c r="N1089"/>
    </row>
    <row r="1090" spans="5:14">
      <c r="E1090" s="2" t="s">
        <v>65</v>
      </c>
      <c r="G1090"/>
      <c r="H1090" s="8" t="s">
        <v>176</v>
      </c>
      <c r="I1090"/>
      <c r="J1090"/>
      <c r="L1090"/>
      <c r="N1090"/>
    </row>
    <row r="1091" spans="5:14">
      <c r="E1091" s="2" t="s">
        <v>66</v>
      </c>
      <c r="G1091"/>
      <c r="H1091" s="8" t="s">
        <v>177</v>
      </c>
      <c r="I1091"/>
      <c r="J1091"/>
      <c r="L1091"/>
      <c r="N1091"/>
    </row>
    <row r="1092" spans="5:14">
      <c r="E1092" s="2" t="s">
        <v>67</v>
      </c>
      <c r="G1092"/>
      <c r="H1092" s="8" t="s">
        <v>178</v>
      </c>
      <c r="I1092"/>
      <c r="J1092"/>
      <c r="L1092"/>
      <c r="N1092"/>
    </row>
    <row r="1093" spans="5:14">
      <c r="E1093" s="2" t="s">
        <v>68</v>
      </c>
      <c r="G1093"/>
      <c r="H1093" s="8" t="s">
        <v>179</v>
      </c>
      <c r="I1093"/>
      <c r="J1093"/>
      <c r="L1093"/>
      <c r="N1093"/>
    </row>
    <row r="1094" spans="5:14">
      <c r="E1094" s="2" t="s">
        <v>69</v>
      </c>
      <c r="G1094"/>
      <c r="H1094" s="8" t="s">
        <v>180</v>
      </c>
      <c r="I1094"/>
      <c r="J1094"/>
      <c r="L1094"/>
      <c r="N1094" t="s">
        <v>253</v>
      </c>
    </row>
    <row r="1095" spans="5:14">
      <c r="E1095" s="2" t="s">
        <v>71</v>
      </c>
      <c r="G1095"/>
      <c r="H1095" s="8" t="s">
        <v>181</v>
      </c>
      <c r="I1095"/>
      <c r="J1095"/>
      <c r="L1095"/>
    </row>
    <row r="1096" spans="5:14">
      <c r="E1096" s="2" t="s">
        <v>72</v>
      </c>
      <c r="G1096"/>
      <c r="H1096" s="8" t="s">
        <v>182</v>
      </c>
      <c r="I1096"/>
      <c r="J1096"/>
      <c r="L1096"/>
    </row>
    <row r="1097" spans="5:14">
      <c r="E1097" s="2" t="s">
        <v>73</v>
      </c>
      <c r="G1097"/>
      <c r="H1097" s="8" t="s">
        <v>183</v>
      </c>
      <c r="I1097"/>
      <c r="J1097"/>
      <c r="L1097"/>
    </row>
    <row r="1098" spans="5:14">
      <c r="E1098" s="2" t="s">
        <v>74</v>
      </c>
      <c r="G1098"/>
      <c r="H1098" s="8" t="s">
        <v>184</v>
      </c>
      <c r="I1098"/>
      <c r="J1098"/>
      <c r="L1098"/>
    </row>
    <row r="1099" spans="5:14">
      <c r="E1099" s="2" t="s">
        <v>75</v>
      </c>
      <c r="G1099"/>
      <c r="H1099" s="8" t="s">
        <v>185</v>
      </c>
      <c r="I1099"/>
      <c r="J1099"/>
      <c r="L1099"/>
    </row>
    <row r="1100" spans="5:14">
      <c r="E1100" s="2" t="s">
        <v>77</v>
      </c>
      <c r="G1100"/>
      <c r="H1100" s="8" t="s">
        <v>186</v>
      </c>
      <c r="I1100"/>
      <c r="J1100"/>
      <c r="L1100"/>
    </row>
    <row r="1101" spans="5:14">
      <c r="E1101" s="2" t="s">
        <v>78</v>
      </c>
      <c r="G1101"/>
      <c r="H1101" s="8" t="s">
        <v>187</v>
      </c>
      <c r="I1101"/>
      <c r="J1101"/>
      <c r="L1101"/>
    </row>
    <row r="1102" spans="5:14">
      <c r="E1102" s="2" t="s">
        <v>79</v>
      </c>
      <c r="G1102"/>
      <c r="H1102" s="8" t="s">
        <v>188</v>
      </c>
      <c r="I1102"/>
      <c r="J1102"/>
      <c r="L1102"/>
    </row>
    <row r="1103" spans="5:14">
      <c r="E1103" s="2" t="s">
        <v>80</v>
      </c>
      <c r="G1103"/>
      <c r="H1103" s="8" t="s">
        <v>189</v>
      </c>
      <c r="I1103"/>
      <c r="J1103"/>
      <c r="L1103"/>
    </row>
    <row r="1104" spans="5:14">
      <c r="E1104" s="2" t="s">
        <v>81</v>
      </c>
      <c r="G1104"/>
      <c r="H1104" s="8" t="s">
        <v>190</v>
      </c>
      <c r="I1104"/>
      <c r="J1104"/>
      <c r="L1104"/>
      <c r="N1104" s="2" t="s">
        <v>295</v>
      </c>
    </row>
    <row r="1105" spans="1:14">
      <c r="E1105" s="2" t="s">
        <v>84</v>
      </c>
      <c r="G1105"/>
      <c r="H1105" s="8" t="s">
        <v>192</v>
      </c>
      <c r="I1105"/>
      <c r="J1105"/>
      <c r="L1105"/>
    </row>
    <row r="1106" spans="1:14">
      <c r="E1106" s="2" t="s">
        <v>85</v>
      </c>
      <c r="G1106"/>
      <c r="H1106" s="8" t="s">
        <v>193</v>
      </c>
      <c r="I1106"/>
      <c r="J1106"/>
      <c r="L1106"/>
    </row>
    <row r="1107" spans="1:14">
      <c r="E1107" s="2" t="s">
        <v>86</v>
      </c>
      <c r="G1107"/>
      <c r="H1107" s="8" t="s">
        <v>194</v>
      </c>
      <c r="I1107"/>
      <c r="J1107"/>
      <c r="L1107"/>
    </row>
    <row r="1108" spans="1:14">
      <c r="E1108" s="2" t="s">
        <v>87</v>
      </c>
      <c r="G1108"/>
      <c r="H1108" s="8" t="s">
        <v>195</v>
      </c>
      <c r="I1108"/>
      <c r="J1108"/>
      <c r="L1108"/>
    </row>
    <row r="1109" spans="1:14">
      <c r="E1109" s="2" t="s">
        <v>88</v>
      </c>
      <c r="G1109"/>
      <c r="H1109" s="8" t="s">
        <v>196</v>
      </c>
      <c r="I1109"/>
      <c r="J1109"/>
      <c r="L1109"/>
    </row>
    <row r="1110" spans="1:14">
      <c r="E1110" s="2" t="s">
        <v>90</v>
      </c>
      <c r="G1110"/>
      <c r="H1110" s="8" t="s">
        <v>197</v>
      </c>
      <c r="I1110"/>
      <c r="J1110"/>
      <c r="L1110"/>
    </row>
    <row r="1111" spans="1:14">
      <c r="E1111" s="2" t="s">
        <v>91</v>
      </c>
      <c r="G1111"/>
      <c r="H1111" s="8" t="s">
        <v>198</v>
      </c>
      <c r="I1111"/>
      <c r="J1111"/>
      <c r="L1111"/>
    </row>
    <row r="1112" spans="1:14">
      <c r="E1112" s="2" t="s">
        <v>92</v>
      </c>
      <c r="G1112"/>
      <c r="H1112" s="8" t="s">
        <v>199</v>
      </c>
      <c r="I1112"/>
      <c r="J1112"/>
      <c r="L1112"/>
    </row>
    <row r="1113" spans="1:14">
      <c r="E1113" s="2" t="s">
        <v>93</v>
      </c>
      <c r="G1113"/>
      <c r="H1113" s="8" t="s">
        <v>200</v>
      </c>
      <c r="I1113"/>
      <c r="J1113"/>
      <c r="L1113"/>
    </row>
    <row r="1114" spans="1:14">
      <c r="E1114" s="2" t="s">
        <v>94</v>
      </c>
      <c r="G1114"/>
      <c r="I1114"/>
      <c r="J1114"/>
      <c r="L1114"/>
    </row>
    <row r="1115" spans="1:14">
      <c r="G1115"/>
      <c r="L1115"/>
      <c r="N1115"/>
    </row>
    <row r="1116" spans="1:14">
      <c r="A1116" s="2" t="s">
        <v>296</v>
      </c>
      <c r="B1116" s="2" t="s">
        <v>297</v>
      </c>
      <c r="E1116" s="2" t="s">
        <v>34</v>
      </c>
      <c r="G1116"/>
      <c r="H1116" s="8" t="s">
        <v>149</v>
      </c>
      <c r="L1116"/>
      <c r="N1116"/>
    </row>
    <row r="1117" spans="1:14">
      <c r="E1117" s="2" t="s">
        <v>36</v>
      </c>
      <c r="G1117"/>
      <c r="H1117" s="8" t="s">
        <v>150</v>
      </c>
      <c r="L1117"/>
      <c r="N1117"/>
    </row>
    <row r="1118" spans="1:14">
      <c r="E1118" s="2" t="s">
        <v>37</v>
      </c>
      <c r="G1118"/>
      <c r="H1118" s="8" t="s">
        <v>151</v>
      </c>
      <c r="L1118"/>
      <c r="N1118"/>
    </row>
    <row r="1119" spans="1:14">
      <c r="E1119" s="2" t="s">
        <v>38</v>
      </c>
      <c r="G1119"/>
      <c r="H1119" s="8" t="s">
        <v>152</v>
      </c>
      <c r="L1119"/>
      <c r="N1119"/>
    </row>
    <row r="1120" spans="1:14">
      <c r="E1120" s="2" t="s">
        <v>39</v>
      </c>
      <c r="G1120"/>
      <c r="H1120" s="8" t="s">
        <v>153</v>
      </c>
      <c r="L1120"/>
      <c r="N1120"/>
    </row>
    <row r="1121" spans="5:14">
      <c r="E1121" s="2" t="s">
        <v>41</v>
      </c>
      <c r="G1121"/>
      <c r="H1121" s="8" t="s">
        <v>154</v>
      </c>
      <c r="L1121"/>
      <c r="N1121"/>
    </row>
    <row r="1122" spans="5:14">
      <c r="E1122" s="2" t="s">
        <v>42</v>
      </c>
      <c r="G1122"/>
      <c r="H1122" s="8" t="s">
        <v>155</v>
      </c>
      <c r="L1122"/>
      <c r="N1122"/>
    </row>
    <row r="1123" spans="5:14">
      <c r="E1123" s="2" t="s">
        <v>43</v>
      </c>
      <c r="G1123"/>
      <c r="H1123" s="8" t="s">
        <v>156</v>
      </c>
      <c r="I1123"/>
      <c r="J1123"/>
      <c r="L1123"/>
      <c r="N1123"/>
    </row>
    <row r="1124" spans="5:14">
      <c r="E1124" s="2" t="s">
        <v>44</v>
      </c>
      <c r="G1124"/>
      <c r="H1124" s="8" t="s">
        <v>157</v>
      </c>
      <c r="L1124"/>
      <c r="N1124"/>
    </row>
    <row r="1125" spans="5:14">
      <c r="E1125" s="2" t="s">
        <v>45</v>
      </c>
      <c r="G1125"/>
      <c r="H1125" s="8" t="s">
        <v>158</v>
      </c>
      <c r="I1125"/>
      <c r="J1125"/>
      <c r="L1125"/>
      <c r="N1125" t="s">
        <v>298</v>
      </c>
    </row>
    <row r="1126" spans="5:14">
      <c r="E1126" s="2" t="s">
        <v>47</v>
      </c>
      <c r="G1126"/>
      <c r="H1126" s="8" t="s">
        <v>160</v>
      </c>
      <c r="L1126"/>
      <c r="N1126"/>
    </row>
    <row r="1127" spans="5:14">
      <c r="E1127" s="2" t="s">
        <v>48</v>
      </c>
      <c r="G1127"/>
      <c r="H1127" s="8" t="s">
        <v>161</v>
      </c>
      <c r="L1127"/>
      <c r="N1127"/>
    </row>
    <row r="1128" spans="5:14">
      <c r="E1128" s="2" t="s">
        <v>49</v>
      </c>
      <c r="G1128"/>
      <c r="H1128" s="8" t="s">
        <v>162</v>
      </c>
      <c r="L1128"/>
      <c r="N1128"/>
    </row>
    <row r="1129" spans="5:14">
      <c r="E1129" s="2" t="s">
        <v>50</v>
      </c>
      <c r="G1129"/>
      <c r="H1129" s="8" t="s">
        <v>163</v>
      </c>
      <c r="L1129"/>
      <c r="N1129"/>
    </row>
    <row r="1130" spans="5:14">
      <c r="E1130" s="2" t="s">
        <v>51</v>
      </c>
      <c r="G1130"/>
      <c r="H1130" s="8" t="s">
        <v>164</v>
      </c>
      <c r="I1130"/>
      <c r="J1130"/>
      <c r="L1130"/>
      <c r="N1130"/>
    </row>
    <row r="1131" spans="5:14">
      <c r="E1131" s="2" t="s">
        <v>53</v>
      </c>
      <c r="G1131"/>
      <c r="H1131" s="8" t="s">
        <v>165</v>
      </c>
      <c r="L1131"/>
      <c r="N1131"/>
    </row>
    <row r="1132" spans="5:14">
      <c r="E1132" s="2" t="s">
        <v>54</v>
      </c>
      <c r="G1132"/>
      <c r="H1132" s="8" t="s">
        <v>166</v>
      </c>
      <c r="L1132"/>
      <c r="N1132"/>
    </row>
    <row r="1133" spans="5:14">
      <c r="E1133" s="2" t="s">
        <v>55</v>
      </c>
      <c r="G1133"/>
      <c r="H1133" s="8" t="s">
        <v>167</v>
      </c>
      <c r="L1133"/>
      <c r="N1133"/>
    </row>
    <row r="1134" spans="5:14">
      <c r="E1134" s="2" t="s">
        <v>56</v>
      </c>
      <c r="G1134"/>
      <c r="H1134" s="8" t="s">
        <v>168</v>
      </c>
      <c r="L1134"/>
      <c r="N1134"/>
    </row>
    <row r="1135" spans="5:14">
      <c r="E1135" s="2" t="s">
        <v>57</v>
      </c>
      <c r="G1135"/>
      <c r="H1135" s="8" t="s">
        <v>169</v>
      </c>
      <c r="L1135"/>
      <c r="N1135" t="s">
        <v>299</v>
      </c>
    </row>
    <row r="1136" spans="5:14">
      <c r="E1136" s="2" t="s">
        <v>59</v>
      </c>
      <c r="G1136"/>
      <c r="H1136" s="8" t="s">
        <v>171</v>
      </c>
      <c r="L1136"/>
      <c r="N1136"/>
    </row>
    <row r="1137" spans="5:14">
      <c r="E1137" s="2" t="s">
        <v>60</v>
      </c>
      <c r="G1137"/>
      <c r="H1137" s="8" t="s">
        <v>172</v>
      </c>
      <c r="L1137"/>
      <c r="N1137"/>
    </row>
    <row r="1138" spans="5:14">
      <c r="E1138" s="2" t="s">
        <v>61</v>
      </c>
      <c r="G1138"/>
      <c r="H1138" s="8" t="s">
        <v>173</v>
      </c>
      <c r="L1138"/>
      <c r="N1138"/>
    </row>
    <row r="1139" spans="5:14">
      <c r="E1139" s="2" t="s">
        <v>62</v>
      </c>
      <c r="G1139"/>
      <c r="H1139" s="8" t="s">
        <v>174</v>
      </c>
      <c r="L1139"/>
      <c r="N1139"/>
    </row>
    <row r="1140" spans="5:14">
      <c r="E1140" s="2" t="s">
        <v>63</v>
      </c>
      <c r="G1140"/>
      <c r="H1140" s="8" t="s">
        <v>175</v>
      </c>
      <c r="L1140"/>
      <c r="M1140" s="7"/>
      <c r="N1140"/>
    </row>
    <row r="1141" spans="5:14">
      <c r="E1141" s="2" t="s">
        <v>65</v>
      </c>
      <c r="G1141"/>
      <c r="H1141" s="8" t="s">
        <v>176</v>
      </c>
      <c r="I1141"/>
      <c r="J1141"/>
      <c r="L1141"/>
    </row>
    <row r="1142" spans="5:14">
      <c r="E1142" s="2" t="s">
        <v>66</v>
      </c>
      <c r="G1142"/>
      <c r="H1142" s="8" t="s">
        <v>177</v>
      </c>
      <c r="I1142"/>
      <c r="J1142"/>
      <c r="L1142"/>
    </row>
    <row r="1143" spans="5:14">
      <c r="E1143" s="2" t="s">
        <v>67</v>
      </c>
      <c r="G1143"/>
      <c r="H1143" s="8" t="s">
        <v>178</v>
      </c>
      <c r="I1143"/>
      <c r="J1143"/>
      <c r="L1143"/>
    </row>
    <row r="1144" spans="5:14">
      <c r="E1144" s="2" t="s">
        <v>68</v>
      </c>
      <c r="G1144"/>
      <c r="H1144" s="8" t="s">
        <v>179</v>
      </c>
      <c r="I1144"/>
      <c r="J1144"/>
      <c r="L1144"/>
    </row>
    <row r="1145" spans="5:14">
      <c r="E1145" s="2" t="s">
        <v>69</v>
      </c>
      <c r="G1145"/>
      <c r="H1145" s="8" t="s">
        <v>180</v>
      </c>
      <c r="I1145"/>
      <c r="J1145"/>
      <c r="L1145"/>
      <c r="N1145" s="2" t="s">
        <v>300</v>
      </c>
    </row>
    <row r="1146" spans="5:14">
      <c r="E1146" s="2" t="s">
        <v>71</v>
      </c>
      <c r="G1146"/>
      <c r="H1146" s="8" t="s">
        <v>181</v>
      </c>
      <c r="I1146"/>
      <c r="J1146"/>
      <c r="L1146"/>
    </row>
    <row r="1147" spans="5:14">
      <c r="E1147" s="2" t="s">
        <v>72</v>
      </c>
      <c r="G1147"/>
      <c r="H1147" s="8" t="s">
        <v>182</v>
      </c>
      <c r="I1147"/>
      <c r="J1147"/>
      <c r="L1147"/>
    </row>
    <row r="1148" spans="5:14">
      <c r="E1148" s="2" t="s">
        <v>73</v>
      </c>
      <c r="G1148"/>
      <c r="H1148" s="8" t="s">
        <v>183</v>
      </c>
      <c r="I1148"/>
      <c r="J1148"/>
      <c r="L1148"/>
    </row>
    <row r="1149" spans="5:14">
      <c r="E1149" s="2" t="s">
        <v>74</v>
      </c>
      <c r="G1149"/>
      <c r="H1149" s="8" t="s">
        <v>184</v>
      </c>
      <c r="I1149"/>
      <c r="J1149"/>
      <c r="L1149"/>
    </row>
    <row r="1150" spans="5:14">
      <c r="E1150" s="2" t="s">
        <v>75</v>
      </c>
      <c r="G1150"/>
      <c r="H1150" s="8" t="s">
        <v>185</v>
      </c>
      <c r="I1150"/>
      <c r="J1150"/>
      <c r="L1150"/>
    </row>
    <row r="1151" spans="5:14">
      <c r="E1151" s="2" t="s">
        <v>77</v>
      </c>
      <c r="G1151"/>
      <c r="H1151" s="8" t="s">
        <v>186</v>
      </c>
      <c r="I1151"/>
      <c r="J1151"/>
      <c r="L1151"/>
    </row>
    <row r="1152" spans="5:14">
      <c r="E1152" s="2" t="s">
        <v>78</v>
      </c>
      <c r="G1152"/>
      <c r="H1152" s="8" t="s">
        <v>187</v>
      </c>
      <c r="I1152"/>
      <c r="J1152"/>
      <c r="L1152"/>
    </row>
    <row r="1153" spans="1:14">
      <c r="E1153" s="2" t="s">
        <v>79</v>
      </c>
      <c r="G1153"/>
      <c r="H1153" s="8" t="s">
        <v>188</v>
      </c>
      <c r="I1153"/>
      <c r="J1153"/>
      <c r="L1153"/>
    </row>
    <row r="1154" spans="1:14">
      <c r="E1154" s="2" t="s">
        <v>80</v>
      </c>
      <c r="G1154"/>
      <c r="H1154" s="8" t="s">
        <v>189</v>
      </c>
      <c r="I1154"/>
      <c r="J1154"/>
      <c r="L1154"/>
    </row>
    <row r="1155" spans="1:14">
      <c r="E1155" s="2" t="s">
        <v>81</v>
      </c>
      <c r="G1155"/>
      <c r="H1155" s="8" t="s">
        <v>190</v>
      </c>
      <c r="I1155"/>
      <c r="J1155"/>
      <c r="L1155"/>
      <c r="N1155" s="2" t="s">
        <v>301</v>
      </c>
    </row>
    <row r="1156" spans="1:14">
      <c r="E1156" s="2" t="s">
        <v>84</v>
      </c>
      <c r="G1156"/>
      <c r="H1156" s="8" t="s">
        <v>192</v>
      </c>
      <c r="I1156"/>
      <c r="J1156"/>
      <c r="L1156"/>
    </row>
    <row r="1157" spans="1:14">
      <c r="E1157" s="2" t="s">
        <v>85</v>
      </c>
      <c r="G1157"/>
      <c r="H1157" s="8" t="s">
        <v>193</v>
      </c>
      <c r="I1157"/>
      <c r="J1157"/>
      <c r="L1157"/>
    </row>
    <row r="1158" spans="1:14">
      <c r="E1158" s="2" t="s">
        <v>86</v>
      </c>
      <c r="G1158"/>
      <c r="H1158" s="8" t="s">
        <v>194</v>
      </c>
      <c r="I1158"/>
      <c r="J1158"/>
      <c r="L1158"/>
    </row>
    <row r="1159" spans="1:14">
      <c r="E1159" s="2" t="s">
        <v>87</v>
      </c>
      <c r="G1159"/>
      <c r="H1159" s="8" t="s">
        <v>195</v>
      </c>
      <c r="I1159"/>
      <c r="J1159"/>
      <c r="L1159"/>
    </row>
    <row r="1160" spans="1:14">
      <c r="E1160" s="2" t="s">
        <v>88</v>
      </c>
      <c r="G1160"/>
      <c r="H1160" s="8" t="s">
        <v>196</v>
      </c>
      <c r="I1160"/>
      <c r="J1160"/>
      <c r="L1160"/>
    </row>
    <row r="1161" spans="1:14">
      <c r="E1161" s="2" t="s">
        <v>90</v>
      </c>
      <c r="G1161"/>
      <c r="H1161" s="8" t="s">
        <v>197</v>
      </c>
      <c r="I1161"/>
      <c r="J1161"/>
      <c r="L1161"/>
    </row>
    <row r="1162" spans="1:14">
      <c r="E1162" s="2" t="s">
        <v>91</v>
      </c>
      <c r="G1162"/>
      <c r="H1162" s="8" t="s">
        <v>198</v>
      </c>
      <c r="I1162"/>
      <c r="J1162"/>
      <c r="L1162"/>
    </row>
    <row r="1163" spans="1:14">
      <c r="E1163" s="2" t="s">
        <v>92</v>
      </c>
      <c r="G1163"/>
      <c r="H1163" s="8" t="s">
        <v>199</v>
      </c>
      <c r="I1163"/>
      <c r="J1163"/>
      <c r="L1163"/>
    </row>
    <row r="1164" spans="1:14">
      <c r="E1164" s="2" t="s">
        <v>93</v>
      </c>
      <c r="G1164"/>
      <c r="H1164" s="8" t="s">
        <v>200</v>
      </c>
      <c r="I1164"/>
      <c r="J1164"/>
      <c r="L1164"/>
    </row>
    <row r="1165" spans="1:14">
      <c r="E1165" s="2" t="s">
        <v>94</v>
      </c>
      <c r="G1165"/>
      <c r="I1165"/>
      <c r="J1165"/>
      <c r="L1165"/>
    </row>
    <row r="1166" spans="1:14">
      <c r="G1166"/>
      <c r="I1166"/>
      <c r="J1166"/>
      <c r="L1166"/>
    </row>
    <row r="1167" spans="1:14">
      <c r="A1167" s="2" t="s">
        <v>302</v>
      </c>
      <c r="B1167" s="2" t="s">
        <v>303</v>
      </c>
      <c r="E1167" s="2" t="s">
        <v>34</v>
      </c>
      <c r="G1167"/>
      <c r="H1167" s="2" t="s">
        <v>222</v>
      </c>
      <c r="L1167"/>
    </row>
    <row r="1168" spans="1:14">
      <c r="E1168" s="2" t="s">
        <v>36</v>
      </c>
      <c r="G1168"/>
      <c r="H1168" s="2" t="s">
        <v>223</v>
      </c>
      <c r="L1168"/>
    </row>
    <row r="1169" spans="1:14">
      <c r="E1169" s="2" t="s">
        <v>37</v>
      </c>
      <c r="G1169"/>
      <c r="H1169" s="2" t="s">
        <v>224</v>
      </c>
      <c r="L1169"/>
    </row>
    <row r="1170" spans="1:14">
      <c r="E1170" s="2" t="s">
        <v>38</v>
      </c>
      <c r="G1170"/>
      <c r="H1170" s="2" t="s">
        <v>225</v>
      </c>
      <c r="L1170"/>
    </row>
    <row r="1171" spans="1:14">
      <c r="E1171" s="2" t="s">
        <v>39</v>
      </c>
      <c r="G1171"/>
      <c r="H1171" s="2" t="s">
        <v>226</v>
      </c>
      <c r="L1171"/>
    </row>
    <row r="1172" spans="1:14">
      <c r="E1172" s="2" t="s">
        <v>41</v>
      </c>
      <c r="G1172"/>
      <c r="H1172" s="2" t="s">
        <v>227</v>
      </c>
      <c r="L1172"/>
    </row>
    <row r="1173" spans="1:14">
      <c r="E1173" s="2" t="s">
        <v>42</v>
      </c>
      <c r="G1173"/>
      <c r="H1173" s="2" t="s">
        <v>228</v>
      </c>
      <c r="L1173"/>
    </row>
    <row r="1174" spans="1:14">
      <c r="E1174" s="2" t="s">
        <v>43</v>
      </c>
      <c r="G1174"/>
      <c r="H1174" s="2" t="s">
        <v>229</v>
      </c>
      <c r="I1174"/>
      <c r="J1174"/>
      <c r="L1174"/>
    </row>
    <row r="1175" spans="1:14">
      <c r="E1175" s="2" t="s">
        <v>44</v>
      </c>
      <c r="G1175"/>
      <c r="H1175" s="2" t="s">
        <v>230</v>
      </c>
      <c r="L1175"/>
    </row>
    <row r="1176" spans="1:14">
      <c r="E1176" s="2" t="s">
        <v>45</v>
      </c>
      <c r="G1176"/>
      <c r="I1176"/>
      <c r="J1176"/>
      <c r="L1176"/>
    </row>
    <row r="1177" spans="1:14">
      <c r="E1177" s="2" t="s">
        <v>47</v>
      </c>
      <c r="G1177"/>
      <c r="I1177"/>
      <c r="J1177"/>
      <c r="L1177"/>
    </row>
    <row r="1178" spans="1:14">
      <c r="E1178" s="2" t="s">
        <v>48</v>
      </c>
      <c r="G1178"/>
      <c r="I1178"/>
      <c r="J1178"/>
      <c r="L1178"/>
    </row>
    <row r="1179" spans="1:14">
      <c r="G1179"/>
      <c r="I1179"/>
      <c r="J1179"/>
      <c r="L1179"/>
    </row>
    <row r="1180" spans="1:14">
      <c r="A1180" s="2" t="s">
        <v>304</v>
      </c>
      <c r="B1180" s="2" t="s">
        <v>305</v>
      </c>
      <c r="E1180" s="2" t="s">
        <v>34</v>
      </c>
      <c r="G1180"/>
      <c r="H1180" s="8" t="s">
        <v>149</v>
      </c>
      <c r="L1180"/>
      <c r="N1180"/>
    </row>
    <row r="1181" spans="1:14">
      <c r="E1181" s="2" t="s">
        <v>36</v>
      </c>
      <c r="G1181"/>
      <c r="H1181" s="8" t="s">
        <v>150</v>
      </c>
      <c r="L1181"/>
      <c r="N1181"/>
    </row>
    <row r="1182" spans="1:14">
      <c r="E1182" s="2" t="s">
        <v>37</v>
      </c>
      <c r="G1182"/>
      <c r="H1182" s="8" t="s">
        <v>151</v>
      </c>
      <c r="L1182"/>
      <c r="N1182"/>
    </row>
    <row r="1183" spans="1:14">
      <c r="E1183" s="2" t="s">
        <v>38</v>
      </c>
      <c r="G1183"/>
      <c r="H1183" s="8" t="s">
        <v>152</v>
      </c>
      <c r="L1183"/>
      <c r="N1183"/>
    </row>
    <row r="1184" spans="1:14">
      <c r="E1184" s="2" t="s">
        <v>39</v>
      </c>
      <c r="G1184"/>
      <c r="H1184" s="8" t="s">
        <v>153</v>
      </c>
      <c r="L1184"/>
      <c r="N1184"/>
    </row>
    <row r="1185" spans="5:14">
      <c r="E1185" s="2" t="s">
        <v>41</v>
      </c>
      <c r="G1185"/>
      <c r="H1185" s="8" t="s">
        <v>154</v>
      </c>
      <c r="L1185"/>
      <c r="N1185"/>
    </row>
    <row r="1186" spans="5:14">
      <c r="E1186" s="2" t="s">
        <v>42</v>
      </c>
      <c r="G1186"/>
      <c r="H1186" s="8" t="s">
        <v>155</v>
      </c>
      <c r="L1186"/>
      <c r="N1186"/>
    </row>
    <row r="1187" spans="5:14">
      <c r="E1187" s="2" t="s">
        <v>43</v>
      </c>
      <c r="G1187"/>
      <c r="H1187" s="8" t="s">
        <v>156</v>
      </c>
      <c r="I1187"/>
      <c r="J1187"/>
      <c r="L1187"/>
      <c r="N1187"/>
    </row>
    <row r="1188" spans="5:14">
      <c r="E1188" s="2" t="s">
        <v>44</v>
      </c>
      <c r="G1188"/>
      <c r="H1188" s="8" t="s">
        <v>157</v>
      </c>
      <c r="L1188"/>
      <c r="N1188"/>
    </row>
    <row r="1189" spans="5:14">
      <c r="E1189" s="2" t="s">
        <v>45</v>
      </c>
      <c r="G1189"/>
      <c r="H1189" s="8" t="s">
        <v>158</v>
      </c>
      <c r="I1189"/>
      <c r="J1189"/>
      <c r="L1189"/>
      <c r="N1189" s="2" t="s">
        <v>306</v>
      </c>
    </row>
    <row r="1190" spans="5:14">
      <c r="E1190" s="2" t="s">
        <v>47</v>
      </c>
      <c r="G1190"/>
      <c r="H1190" s="8" t="s">
        <v>160</v>
      </c>
      <c r="L1190"/>
    </row>
    <row r="1191" spans="5:14">
      <c r="E1191" s="2" t="s">
        <v>48</v>
      </c>
      <c r="G1191"/>
      <c r="H1191" s="8" t="s">
        <v>161</v>
      </c>
      <c r="L1191"/>
    </row>
    <row r="1192" spans="5:14">
      <c r="E1192" s="2" t="s">
        <v>49</v>
      </c>
      <c r="G1192"/>
      <c r="H1192" s="8" t="s">
        <v>162</v>
      </c>
      <c r="L1192"/>
    </row>
    <row r="1193" spans="5:14">
      <c r="E1193" s="2" t="s">
        <v>50</v>
      </c>
      <c r="G1193"/>
      <c r="H1193" s="8" t="s">
        <v>163</v>
      </c>
      <c r="L1193"/>
    </row>
    <row r="1194" spans="5:14">
      <c r="E1194" s="2" t="s">
        <v>51</v>
      </c>
      <c r="G1194"/>
      <c r="H1194" s="8" t="s">
        <v>164</v>
      </c>
      <c r="I1194"/>
      <c r="J1194"/>
      <c r="L1194"/>
    </row>
    <row r="1195" spans="5:14">
      <c r="E1195" s="2" t="s">
        <v>53</v>
      </c>
      <c r="G1195"/>
      <c r="H1195" s="8" t="s">
        <v>165</v>
      </c>
      <c r="L1195"/>
    </row>
    <row r="1196" spans="5:14">
      <c r="E1196" s="2" t="s">
        <v>54</v>
      </c>
      <c r="G1196"/>
      <c r="H1196" s="8" t="s">
        <v>166</v>
      </c>
      <c r="L1196"/>
    </row>
    <row r="1197" spans="5:14">
      <c r="E1197" s="2" t="s">
        <v>55</v>
      </c>
      <c r="G1197"/>
      <c r="H1197" s="8" t="s">
        <v>167</v>
      </c>
      <c r="L1197"/>
    </row>
    <row r="1198" spans="5:14">
      <c r="E1198" s="2" t="s">
        <v>56</v>
      </c>
      <c r="G1198"/>
      <c r="H1198" s="8" t="s">
        <v>168</v>
      </c>
      <c r="L1198"/>
    </row>
    <row r="1199" spans="5:14">
      <c r="E1199" s="2" t="s">
        <v>57</v>
      </c>
      <c r="G1199"/>
      <c r="H1199" s="8" t="s">
        <v>169</v>
      </c>
      <c r="L1199"/>
      <c r="N1199" s="2" t="s">
        <v>307</v>
      </c>
    </row>
    <row r="1200" spans="5:14">
      <c r="E1200" s="2" t="s">
        <v>59</v>
      </c>
      <c r="G1200"/>
      <c r="H1200" s="8" t="s">
        <v>171</v>
      </c>
      <c r="L1200"/>
    </row>
    <row r="1201" spans="5:14">
      <c r="E1201" s="2" t="s">
        <v>60</v>
      </c>
      <c r="G1201"/>
      <c r="H1201" s="8" t="s">
        <v>172</v>
      </c>
      <c r="L1201"/>
    </row>
    <row r="1202" spans="5:14">
      <c r="E1202" s="2" t="s">
        <v>61</v>
      </c>
      <c r="G1202"/>
      <c r="H1202" s="8" t="s">
        <v>173</v>
      </c>
      <c r="L1202"/>
    </row>
    <row r="1203" spans="5:14">
      <c r="E1203" s="2" t="s">
        <v>62</v>
      </c>
      <c r="G1203"/>
      <c r="H1203" s="8" t="s">
        <v>174</v>
      </c>
      <c r="L1203"/>
    </row>
    <row r="1204" spans="5:14">
      <c r="E1204" s="2" t="s">
        <v>63</v>
      </c>
      <c r="G1204"/>
      <c r="H1204" s="8" t="s">
        <v>175</v>
      </c>
      <c r="L1204"/>
    </row>
    <row r="1205" spans="5:14">
      <c r="E1205" s="2" t="s">
        <v>65</v>
      </c>
      <c r="G1205"/>
      <c r="H1205" s="8" t="s">
        <v>176</v>
      </c>
      <c r="I1205"/>
      <c r="J1205"/>
      <c r="L1205"/>
    </row>
    <row r="1206" spans="5:14">
      <c r="E1206" s="2" t="s">
        <v>66</v>
      </c>
      <c r="G1206"/>
      <c r="H1206" s="8" t="s">
        <v>177</v>
      </c>
      <c r="I1206"/>
      <c r="J1206"/>
      <c r="L1206"/>
    </row>
    <row r="1207" spans="5:14">
      <c r="E1207" s="2" t="s">
        <v>67</v>
      </c>
      <c r="G1207"/>
      <c r="H1207" s="8" t="s">
        <v>178</v>
      </c>
      <c r="I1207"/>
      <c r="J1207"/>
      <c r="L1207"/>
    </row>
    <row r="1208" spans="5:14">
      <c r="E1208" s="2" t="s">
        <v>68</v>
      </c>
      <c r="G1208"/>
      <c r="H1208" s="8" t="s">
        <v>179</v>
      </c>
      <c r="I1208"/>
      <c r="J1208"/>
      <c r="L1208"/>
    </row>
    <row r="1209" spans="5:14">
      <c r="E1209" s="2" t="s">
        <v>69</v>
      </c>
      <c r="G1209"/>
      <c r="H1209" s="8" t="s">
        <v>180</v>
      </c>
      <c r="I1209"/>
      <c r="J1209"/>
      <c r="L1209"/>
      <c r="N1209" s="2" t="s">
        <v>308</v>
      </c>
    </row>
    <row r="1210" spans="5:14">
      <c r="E1210" s="2" t="s">
        <v>71</v>
      </c>
      <c r="G1210"/>
      <c r="H1210" s="8" t="s">
        <v>181</v>
      </c>
      <c r="I1210"/>
      <c r="J1210"/>
      <c r="L1210"/>
    </row>
    <row r="1211" spans="5:14">
      <c r="E1211" s="2" t="s">
        <v>72</v>
      </c>
      <c r="G1211"/>
      <c r="H1211" s="8" t="s">
        <v>182</v>
      </c>
      <c r="I1211"/>
      <c r="J1211"/>
      <c r="L1211"/>
    </row>
    <row r="1212" spans="5:14">
      <c r="E1212" s="2" t="s">
        <v>73</v>
      </c>
      <c r="G1212"/>
      <c r="H1212" s="8" t="s">
        <v>183</v>
      </c>
      <c r="I1212"/>
      <c r="J1212"/>
      <c r="L1212"/>
    </row>
    <row r="1213" spans="5:14">
      <c r="E1213" s="2" t="s">
        <v>74</v>
      </c>
      <c r="G1213"/>
      <c r="H1213" s="8" t="s">
        <v>184</v>
      </c>
      <c r="I1213"/>
      <c r="J1213"/>
      <c r="L1213"/>
    </row>
    <row r="1214" spans="5:14">
      <c r="E1214" s="2" t="s">
        <v>75</v>
      </c>
      <c r="G1214"/>
      <c r="H1214" s="8" t="s">
        <v>185</v>
      </c>
      <c r="I1214"/>
      <c r="J1214"/>
      <c r="L1214"/>
    </row>
    <row r="1215" spans="5:14">
      <c r="E1215" s="2" t="s">
        <v>77</v>
      </c>
      <c r="G1215"/>
      <c r="H1215" s="8" t="s">
        <v>186</v>
      </c>
      <c r="I1215"/>
      <c r="J1215"/>
      <c r="L1215"/>
    </row>
    <row r="1216" spans="5:14">
      <c r="E1216" s="2" t="s">
        <v>78</v>
      </c>
      <c r="G1216"/>
      <c r="H1216" s="8" t="s">
        <v>187</v>
      </c>
      <c r="I1216"/>
      <c r="J1216"/>
      <c r="L1216"/>
    </row>
    <row r="1217" spans="1:14">
      <c r="E1217" s="2" t="s">
        <v>79</v>
      </c>
      <c r="G1217"/>
      <c r="H1217" s="8" t="s">
        <v>188</v>
      </c>
      <c r="I1217"/>
      <c r="J1217"/>
    </row>
    <row r="1218" spans="1:14">
      <c r="E1218" s="2" t="s">
        <v>80</v>
      </c>
      <c r="G1218"/>
      <c r="H1218" s="8" t="s">
        <v>189</v>
      </c>
      <c r="I1218"/>
      <c r="J1218"/>
    </row>
    <row r="1219" spans="1:14">
      <c r="E1219" s="2" t="s">
        <v>81</v>
      </c>
      <c r="G1219"/>
      <c r="H1219" s="8" t="s">
        <v>190</v>
      </c>
      <c r="I1219"/>
      <c r="J1219"/>
      <c r="L1219"/>
      <c r="N1219" s="2" t="s">
        <v>309</v>
      </c>
    </row>
    <row r="1220" spans="1:14">
      <c r="E1220" s="2" t="s">
        <v>84</v>
      </c>
      <c r="G1220"/>
      <c r="H1220" s="8" t="s">
        <v>192</v>
      </c>
      <c r="I1220"/>
      <c r="J1220"/>
      <c r="L1220"/>
    </row>
    <row r="1221" spans="1:14">
      <c r="E1221" s="2" t="s">
        <v>85</v>
      </c>
      <c r="G1221"/>
      <c r="H1221" s="8" t="s">
        <v>193</v>
      </c>
      <c r="I1221"/>
      <c r="J1221"/>
      <c r="L1221"/>
    </row>
    <row r="1222" spans="1:14">
      <c r="E1222" s="2" t="s">
        <v>86</v>
      </c>
      <c r="G1222"/>
      <c r="H1222" s="8" t="s">
        <v>194</v>
      </c>
      <c r="I1222"/>
      <c r="J1222"/>
      <c r="L1222"/>
    </row>
    <row r="1223" spans="1:14">
      <c r="E1223" s="2" t="s">
        <v>87</v>
      </c>
      <c r="G1223"/>
      <c r="H1223" s="8" t="s">
        <v>195</v>
      </c>
      <c r="I1223"/>
      <c r="J1223"/>
      <c r="L1223"/>
    </row>
    <row r="1224" spans="1:14">
      <c r="E1224" s="2" t="s">
        <v>88</v>
      </c>
      <c r="G1224"/>
      <c r="H1224" s="8" t="s">
        <v>196</v>
      </c>
      <c r="I1224"/>
      <c r="J1224"/>
      <c r="L1224"/>
    </row>
    <row r="1225" spans="1:14">
      <c r="E1225" s="2" t="s">
        <v>90</v>
      </c>
      <c r="G1225"/>
      <c r="H1225" s="8" t="s">
        <v>197</v>
      </c>
      <c r="I1225"/>
      <c r="J1225"/>
      <c r="L1225"/>
    </row>
    <row r="1226" spans="1:14">
      <c r="E1226" s="2" t="s">
        <v>91</v>
      </c>
      <c r="G1226"/>
      <c r="H1226" s="8" t="s">
        <v>198</v>
      </c>
      <c r="I1226"/>
      <c r="J1226"/>
      <c r="L1226"/>
    </row>
    <row r="1227" spans="1:14">
      <c r="E1227" s="2" t="s">
        <v>92</v>
      </c>
      <c r="G1227"/>
      <c r="H1227" s="8" t="s">
        <v>199</v>
      </c>
      <c r="I1227"/>
      <c r="J1227"/>
      <c r="L1227"/>
    </row>
    <row r="1228" spans="1:14">
      <c r="E1228" s="2" t="s">
        <v>93</v>
      </c>
      <c r="G1228"/>
      <c r="H1228" s="8" t="s">
        <v>200</v>
      </c>
      <c r="I1228"/>
      <c r="J1228"/>
      <c r="L1228"/>
    </row>
    <row r="1229" spans="1:14">
      <c r="E1229" s="2" t="s">
        <v>94</v>
      </c>
      <c r="G1229"/>
      <c r="I1229"/>
      <c r="J1229"/>
      <c r="L1229"/>
    </row>
    <row r="1230" spans="1:14">
      <c r="G1230"/>
      <c r="I1230"/>
      <c r="J1230"/>
      <c r="L1230"/>
    </row>
    <row r="1231" spans="1:14">
      <c r="A1231" s="2" t="s">
        <v>310</v>
      </c>
      <c r="B1231" s="2" t="s">
        <v>311</v>
      </c>
      <c r="E1231" s="2" t="s">
        <v>34</v>
      </c>
      <c r="G1231"/>
      <c r="H1231" s="8" t="s">
        <v>149</v>
      </c>
      <c r="L1231"/>
      <c r="N1231"/>
    </row>
    <row r="1232" spans="1:14">
      <c r="E1232" s="2" t="s">
        <v>36</v>
      </c>
      <c r="G1232"/>
      <c r="H1232" s="8" t="s">
        <v>150</v>
      </c>
      <c r="L1232"/>
      <c r="N1232"/>
    </row>
    <row r="1233" spans="5:14">
      <c r="E1233" s="2" t="s">
        <v>37</v>
      </c>
      <c r="G1233"/>
      <c r="H1233" s="8" t="s">
        <v>151</v>
      </c>
      <c r="L1233"/>
      <c r="N1233"/>
    </row>
    <row r="1234" spans="5:14">
      <c r="E1234" s="2" t="s">
        <v>38</v>
      </c>
      <c r="G1234"/>
      <c r="H1234" s="8" t="s">
        <v>152</v>
      </c>
      <c r="L1234"/>
      <c r="N1234"/>
    </row>
    <row r="1235" spans="5:14">
      <c r="E1235" s="2" t="s">
        <v>39</v>
      </c>
      <c r="G1235"/>
      <c r="H1235" s="8" t="s">
        <v>153</v>
      </c>
      <c r="L1235"/>
      <c r="N1235"/>
    </row>
    <row r="1236" spans="5:14">
      <c r="E1236" s="2" t="s">
        <v>41</v>
      </c>
      <c r="G1236"/>
      <c r="H1236" s="8" t="s">
        <v>154</v>
      </c>
      <c r="L1236"/>
      <c r="N1236"/>
    </row>
    <row r="1237" spans="5:14">
      <c r="E1237" s="2" t="s">
        <v>42</v>
      </c>
      <c r="G1237"/>
      <c r="H1237" s="8" t="s">
        <v>155</v>
      </c>
      <c r="L1237"/>
      <c r="N1237"/>
    </row>
    <row r="1238" spans="5:14">
      <c r="E1238" s="2" t="s">
        <v>43</v>
      </c>
      <c r="G1238"/>
      <c r="H1238" s="8" t="s">
        <v>156</v>
      </c>
      <c r="I1238"/>
      <c r="J1238"/>
      <c r="L1238"/>
      <c r="N1238"/>
    </row>
    <row r="1239" spans="5:14">
      <c r="E1239" s="2" t="s">
        <v>44</v>
      </c>
      <c r="G1239"/>
      <c r="H1239" s="8" t="s">
        <v>157</v>
      </c>
      <c r="L1239"/>
      <c r="N1239"/>
    </row>
    <row r="1240" spans="5:14">
      <c r="E1240" s="2" t="s">
        <v>45</v>
      </c>
      <c r="G1240"/>
      <c r="H1240" s="8" t="s">
        <v>158</v>
      </c>
      <c r="I1240"/>
      <c r="J1240"/>
      <c r="L1240"/>
      <c r="N1240" t="s">
        <v>312</v>
      </c>
    </row>
    <row r="1241" spans="5:14">
      <c r="E1241" s="2" t="s">
        <v>47</v>
      </c>
      <c r="G1241"/>
      <c r="H1241" s="8" t="s">
        <v>160</v>
      </c>
      <c r="L1241"/>
      <c r="N1241"/>
    </row>
    <row r="1242" spans="5:14">
      <c r="E1242" s="2" t="s">
        <v>48</v>
      </c>
      <c r="G1242"/>
      <c r="H1242" s="8" t="s">
        <v>161</v>
      </c>
      <c r="L1242"/>
      <c r="N1242"/>
    </row>
    <row r="1243" spans="5:14">
      <c r="E1243" s="2" t="s">
        <v>49</v>
      </c>
      <c r="G1243"/>
      <c r="H1243" s="8" t="s">
        <v>162</v>
      </c>
      <c r="L1243"/>
      <c r="N1243"/>
    </row>
    <row r="1244" spans="5:14">
      <c r="E1244" s="2" t="s">
        <v>50</v>
      </c>
      <c r="G1244"/>
      <c r="H1244" s="8" t="s">
        <v>163</v>
      </c>
      <c r="L1244"/>
      <c r="N1244"/>
    </row>
    <row r="1245" spans="5:14">
      <c r="E1245" s="2" t="s">
        <v>51</v>
      </c>
      <c r="G1245"/>
      <c r="H1245" s="8" t="s">
        <v>164</v>
      </c>
      <c r="I1245"/>
      <c r="J1245"/>
      <c r="L1245"/>
      <c r="N1245"/>
    </row>
    <row r="1246" spans="5:14">
      <c r="E1246" s="2" t="s">
        <v>53</v>
      </c>
      <c r="G1246"/>
      <c r="H1246" s="8" t="s">
        <v>165</v>
      </c>
      <c r="L1246"/>
      <c r="N1246"/>
    </row>
    <row r="1247" spans="5:14">
      <c r="E1247" s="2" t="s">
        <v>54</v>
      </c>
      <c r="G1247"/>
      <c r="H1247" s="8" t="s">
        <v>166</v>
      </c>
      <c r="L1247"/>
      <c r="N1247"/>
    </row>
    <row r="1248" spans="5:14">
      <c r="E1248" s="2" t="s">
        <v>55</v>
      </c>
      <c r="G1248"/>
      <c r="H1248" s="8" t="s">
        <v>167</v>
      </c>
      <c r="L1248"/>
      <c r="N1248"/>
    </row>
    <row r="1249" spans="5:14">
      <c r="E1249" s="2" t="s">
        <v>56</v>
      </c>
      <c r="G1249"/>
      <c r="H1249" s="8" t="s">
        <v>168</v>
      </c>
      <c r="L1249"/>
      <c r="N1249"/>
    </row>
    <row r="1250" spans="5:14">
      <c r="E1250" s="2" t="s">
        <v>57</v>
      </c>
      <c r="G1250"/>
      <c r="H1250" s="8" t="s">
        <v>169</v>
      </c>
      <c r="L1250"/>
      <c r="N1250" t="s">
        <v>313</v>
      </c>
    </row>
    <row r="1251" spans="5:14">
      <c r="E1251" s="2" t="s">
        <v>59</v>
      </c>
      <c r="G1251"/>
      <c r="H1251" s="8" t="s">
        <v>171</v>
      </c>
      <c r="L1251"/>
      <c r="N1251"/>
    </row>
    <row r="1252" spans="5:14">
      <c r="E1252" s="2" t="s">
        <v>60</v>
      </c>
      <c r="G1252"/>
      <c r="H1252" s="8" t="s">
        <v>172</v>
      </c>
      <c r="L1252"/>
      <c r="N1252"/>
    </row>
    <row r="1253" spans="5:14">
      <c r="E1253" s="2" t="s">
        <v>61</v>
      </c>
      <c r="G1253"/>
      <c r="H1253" s="8" t="s">
        <v>173</v>
      </c>
      <c r="L1253"/>
      <c r="N1253"/>
    </row>
    <row r="1254" spans="5:14">
      <c r="E1254" s="2" t="s">
        <v>62</v>
      </c>
      <c r="G1254"/>
      <c r="H1254" s="8" t="s">
        <v>174</v>
      </c>
      <c r="L1254"/>
      <c r="N1254"/>
    </row>
    <row r="1255" spans="5:14">
      <c r="E1255" s="2" t="s">
        <v>63</v>
      </c>
      <c r="G1255"/>
      <c r="H1255" s="8" t="s">
        <v>175</v>
      </c>
      <c r="L1255"/>
      <c r="N1255"/>
    </row>
    <row r="1256" spans="5:14">
      <c r="E1256" s="2" t="s">
        <v>65</v>
      </c>
      <c r="G1256"/>
      <c r="H1256" s="8" t="s">
        <v>176</v>
      </c>
      <c r="I1256"/>
      <c r="J1256"/>
      <c r="L1256"/>
      <c r="N1256"/>
    </row>
    <row r="1257" spans="5:14">
      <c r="E1257" s="2" t="s">
        <v>66</v>
      </c>
      <c r="G1257"/>
      <c r="H1257" s="8" t="s">
        <v>177</v>
      </c>
      <c r="I1257"/>
      <c r="J1257"/>
      <c r="L1257"/>
    </row>
    <row r="1258" spans="5:14">
      <c r="E1258" s="2" t="s">
        <v>67</v>
      </c>
      <c r="G1258"/>
      <c r="H1258" s="8" t="s">
        <v>178</v>
      </c>
      <c r="I1258"/>
      <c r="J1258"/>
    </row>
    <row r="1259" spans="5:14">
      <c r="E1259" s="2" t="s">
        <v>68</v>
      </c>
      <c r="G1259"/>
      <c r="H1259" s="8" t="s">
        <v>179</v>
      </c>
      <c r="I1259"/>
      <c r="J1259"/>
    </row>
    <row r="1260" spans="5:14">
      <c r="E1260" s="2" t="s">
        <v>69</v>
      </c>
      <c r="G1260"/>
      <c r="H1260" s="8" t="s">
        <v>180</v>
      </c>
      <c r="I1260"/>
      <c r="J1260"/>
      <c r="N1260" s="2" t="s">
        <v>314</v>
      </c>
    </row>
    <row r="1261" spans="5:14">
      <c r="E1261" s="2" t="s">
        <v>71</v>
      </c>
      <c r="G1261"/>
      <c r="H1261" s="8" t="s">
        <v>181</v>
      </c>
      <c r="I1261"/>
      <c r="J1261"/>
    </row>
    <row r="1262" spans="5:14">
      <c r="E1262" s="2" t="s">
        <v>72</v>
      </c>
      <c r="G1262"/>
      <c r="H1262" s="8" t="s">
        <v>182</v>
      </c>
      <c r="I1262"/>
      <c r="J1262"/>
    </row>
    <row r="1263" spans="5:14">
      <c r="E1263" s="2" t="s">
        <v>73</v>
      </c>
      <c r="G1263"/>
      <c r="H1263" s="8" t="s">
        <v>183</v>
      </c>
      <c r="I1263"/>
      <c r="J1263"/>
    </row>
    <row r="1264" spans="5:14">
      <c r="E1264" s="2" t="s">
        <v>74</v>
      </c>
      <c r="G1264"/>
      <c r="H1264" s="8" t="s">
        <v>184</v>
      </c>
      <c r="I1264"/>
      <c r="J1264"/>
    </row>
    <row r="1265" spans="5:14">
      <c r="E1265" s="2" t="s">
        <v>75</v>
      </c>
      <c r="G1265"/>
      <c r="H1265" s="8" t="s">
        <v>185</v>
      </c>
      <c r="I1265"/>
      <c r="J1265"/>
    </row>
    <row r="1266" spans="5:14">
      <c r="E1266" s="2" t="s">
        <v>77</v>
      </c>
      <c r="G1266"/>
      <c r="H1266" s="8" t="s">
        <v>186</v>
      </c>
      <c r="I1266"/>
      <c r="J1266"/>
    </row>
    <row r="1267" spans="5:14">
      <c r="E1267" s="2" t="s">
        <v>78</v>
      </c>
      <c r="G1267"/>
      <c r="H1267" s="8" t="s">
        <v>187</v>
      </c>
      <c r="I1267"/>
      <c r="J1267"/>
    </row>
    <row r="1268" spans="5:14">
      <c r="E1268" s="2" t="s">
        <v>79</v>
      </c>
      <c r="G1268"/>
      <c r="H1268" s="8" t="s">
        <v>188</v>
      </c>
      <c r="I1268"/>
      <c r="J1268"/>
      <c r="L1268"/>
    </row>
    <row r="1269" spans="5:14">
      <c r="E1269" s="2" t="s">
        <v>80</v>
      </c>
      <c r="G1269"/>
      <c r="H1269" s="8" t="s">
        <v>189</v>
      </c>
      <c r="I1269"/>
      <c r="J1269"/>
      <c r="L1269"/>
    </row>
    <row r="1270" spans="5:14">
      <c r="E1270" s="2" t="s">
        <v>81</v>
      </c>
      <c r="G1270"/>
      <c r="H1270" s="8" t="s">
        <v>190</v>
      </c>
      <c r="I1270"/>
      <c r="J1270"/>
      <c r="L1270"/>
      <c r="N1270" s="2" t="s">
        <v>315</v>
      </c>
    </row>
    <row r="1271" spans="5:14">
      <c r="E1271" s="2" t="s">
        <v>84</v>
      </c>
      <c r="G1271"/>
      <c r="H1271" s="8" t="s">
        <v>192</v>
      </c>
      <c r="I1271"/>
      <c r="J1271"/>
      <c r="L1271"/>
    </row>
    <row r="1272" spans="5:14">
      <c r="E1272" s="2" t="s">
        <v>85</v>
      </c>
      <c r="G1272"/>
      <c r="H1272" s="8" t="s">
        <v>193</v>
      </c>
      <c r="I1272"/>
      <c r="J1272"/>
      <c r="L1272"/>
    </row>
    <row r="1273" spans="5:14">
      <c r="E1273" s="2" t="s">
        <v>86</v>
      </c>
      <c r="G1273"/>
      <c r="H1273" s="8" t="s">
        <v>194</v>
      </c>
      <c r="I1273"/>
      <c r="J1273"/>
      <c r="L1273"/>
    </row>
    <row r="1274" spans="5:14">
      <c r="E1274" s="2" t="s">
        <v>87</v>
      </c>
      <c r="G1274"/>
      <c r="H1274" s="8" t="s">
        <v>195</v>
      </c>
      <c r="I1274"/>
      <c r="J1274"/>
      <c r="L1274"/>
    </row>
    <row r="1275" spans="5:14">
      <c r="E1275" s="2" t="s">
        <v>88</v>
      </c>
      <c r="G1275"/>
      <c r="H1275" s="8" t="s">
        <v>196</v>
      </c>
      <c r="I1275"/>
      <c r="J1275"/>
      <c r="L1275"/>
    </row>
    <row r="1276" spans="5:14">
      <c r="E1276" s="2" t="s">
        <v>90</v>
      </c>
      <c r="G1276"/>
      <c r="H1276" s="8" t="s">
        <v>197</v>
      </c>
      <c r="I1276"/>
      <c r="J1276"/>
      <c r="L1276"/>
    </row>
    <row r="1277" spans="5:14">
      <c r="E1277" s="2" t="s">
        <v>91</v>
      </c>
      <c r="G1277"/>
      <c r="H1277" s="8" t="s">
        <v>198</v>
      </c>
      <c r="I1277"/>
      <c r="J1277"/>
      <c r="L1277"/>
    </row>
    <row r="1278" spans="5:14">
      <c r="E1278" s="2" t="s">
        <v>92</v>
      </c>
      <c r="G1278"/>
      <c r="H1278" s="8" t="s">
        <v>199</v>
      </c>
      <c r="I1278"/>
      <c r="J1278"/>
      <c r="L1278"/>
    </row>
    <row r="1279" spans="5:14">
      <c r="E1279" s="2" t="s">
        <v>93</v>
      </c>
      <c r="G1279"/>
      <c r="H1279" s="8" t="s">
        <v>200</v>
      </c>
      <c r="I1279"/>
      <c r="J1279"/>
      <c r="L1279"/>
    </row>
    <row r="1280" spans="5:14">
      <c r="E1280" s="2" t="s">
        <v>94</v>
      </c>
      <c r="G1280"/>
      <c r="I1280"/>
      <c r="J1280"/>
      <c r="L1280"/>
    </row>
    <row r="1281" spans="1:14">
      <c r="G1281"/>
      <c r="I1281"/>
      <c r="J1281"/>
      <c r="L1281"/>
    </row>
    <row r="1282" spans="1:14">
      <c r="A1282" s="2" t="s">
        <v>316</v>
      </c>
      <c r="B1282" s="2" t="s">
        <v>317</v>
      </c>
      <c r="E1282" s="2" t="s">
        <v>34</v>
      </c>
      <c r="G1282"/>
      <c r="H1282" s="8" t="s">
        <v>149</v>
      </c>
      <c r="L1282"/>
      <c r="N1282"/>
    </row>
    <row r="1283" spans="1:14">
      <c r="E1283" s="2" t="s">
        <v>36</v>
      </c>
      <c r="G1283"/>
      <c r="H1283" s="8" t="s">
        <v>150</v>
      </c>
      <c r="L1283"/>
      <c r="N1283"/>
    </row>
    <row r="1284" spans="1:14">
      <c r="E1284" s="2" t="s">
        <v>37</v>
      </c>
      <c r="G1284"/>
      <c r="H1284" s="8" t="s">
        <v>151</v>
      </c>
      <c r="L1284"/>
      <c r="N1284"/>
    </row>
    <row r="1285" spans="1:14">
      <c r="E1285" s="2" t="s">
        <v>38</v>
      </c>
      <c r="G1285"/>
      <c r="H1285" s="8" t="s">
        <v>152</v>
      </c>
      <c r="L1285"/>
      <c r="N1285"/>
    </row>
    <row r="1286" spans="1:14">
      <c r="E1286" s="2" t="s">
        <v>39</v>
      </c>
      <c r="G1286"/>
      <c r="H1286" s="8" t="s">
        <v>153</v>
      </c>
      <c r="L1286"/>
      <c r="N1286"/>
    </row>
    <row r="1287" spans="1:14">
      <c r="E1287" s="2" t="s">
        <v>41</v>
      </c>
      <c r="G1287"/>
      <c r="H1287" s="8" t="s">
        <v>154</v>
      </c>
      <c r="L1287"/>
      <c r="N1287"/>
    </row>
    <row r="1288" spans="1:14">
      <c r="E1288" s="2" t="s">
        <v>42</v>
      </c>
      <c r="G1288"/>
      <c r="H1288" s="8" t="s">
        <v>155</v>
      </c>
      <c r="L1288"/>
      <c r="N1288"/>
    </row>
    <row r="1289" spans="1:14">
      <c r="E1289" s="2" t="s">
        <v>43</v>
      </c>
      <c r="G1289"/>
      <c r="H1289" s="8" t="s">
        <v>156</v>
      </c>
      <c r="I1289"/>
      <c r="J1289"/>
      <c r="L1289"/>
      <c r="N1289"/>
    </row>
    <row r="1290" spans="1:14">
      <c r="E1290" s="2" t="s">
        <v>44</v>
      </c>
      <c r="G1290"/>
      <c r="H1290" s="8" t="s">
        <v>157</v>
      </c>
      <c r="L1290"/>
      <c r="N1290"/>
    </row>
    <row r="1291" spans="1:14">
      <c r="E1291" s="2" t="s">
        <v>45</v>
      </c>
      <c r="G1291"/>
      <c r="H1291" s="8" t="s">
        <v>158</v>
      </c>
      <c r="I1291"/>
      <c r="J1291"/>
      <c r="L1291"/>
      <c r="N1291" t="s">
        <v>318</v>
      </c>
    </row>
    <row r="1292" spans="1:14">
      <c r="E1292" s="2" t="s">
        <v>47</v>
      </c>
      <c r="G1292"/>
      <c r="H1292" s="8" t="s">
        <v>160</v>
      </c>
      <c r="L1292"/>
      <c r="N1292"/>
    </row>
    <row r="1293" spans="1:14">
      <c r="E1293" s="2" t="s">
        <v>48</v>
      </c>
      <c r="G1293"/>
      <c r="H1293" s="8" t="s">
        <v>161</v>
      </c>
      <c r="L1293"/>
      <c r="N1293"/>
    </row>
    <row r="1294" spans="1:14">
      <c r="E1294" s="2" t="s">
        <v>49</v>
      </c>
      <c r="G1294"/>
      <c r="H1294" s="8" t="s">
        <v>162</v>
      </c>
      <c r="L1294"/>
      <c r="N1294"/>
    </row>
    <row r="1295" spans="1:14">
      <c r="E1295" s="2" t="s">
        <v>50</v>
      </c>
      <c r="G1295"/>
      <c r="H1295" s="8" t="s">
        <v>163</v>
      </c>
      <c r="L1295"/>
      <c r="N1295"/>
    </row>
    <row r="1296" spans="1:14">
      <c r="E1296" s="2" t="s">
        <v>51</v>
      </c>
      <c r="G1296"/>
      <c r="H1296" s="8" t="s">
        <v>164</v>
      </c>
      <c r="I1296"/>
      <c r="J1296"/>
      <c r="L1296"/>
      <c r="N1296"/>
    </row>
    <row r="1297" spans="5:14">
      <c r="E1297" s="2" t="s">
        <v>53</v>
      </c>
      <c r="G1297"/>
      <c r="H1297" s="8" t="s">
        <v>165</v>
      </c>
      <c r="L1297"/>
      <c r="N1297"/>
    </row>
    <row r="1298" spans="5:14">
      <c r="E1298" s="2" t="s">
        <v>54</v>
      </c>
      <c r="G1298"/>
      <c r="H1298" s="8" t="s">
        <v>166</v>
      </c>
      <c r="L1298"/>
      <c r="N1298"/>
    </row>
    <row r="1299" spans="5:14">
      <c r="E1299" s="2" t="s">
        <v>55</v>
      </c>
      <c r="G1299"/>
      <c r="H1299" s="8" t="s">
        <v>167</v>
      </c>
      <c r="L1299"/>
      <c r="N1299"/>
    </row>
    <row r="1300" spans="5:14">
      <c r="E1300" s="2" t="s">
        <v>56</v>
      </c>
      <c r="G1300"/>
      <c r="H1300" s="8" t="s">
        <v>168</v>
      </c>
      <c r="L1300"/>
      <c r="N1300"/>
    </row>
    <row r="1301" spans="5:14">
      <c r="E1301" s="2" t="s">
        <v>57</v>
      </c>
      <c r="G1301"/>
      <c r="H1301" s="8" t="s">
        <v>169</v>
      </c>
      <c r="L1301"/>
      <c r="N1301" t="s">
        <v>319</v>
      </c>
    </row>
    <row r="1302" spans="5:14">
      <c r="E1302" s="2" t="s">
        <v>59</v>
      </c>
      <c r="G1302"/>
      <c r="H1302" s="8" t="s">
        <v>171</v>
      </c>
      <c r="L1302"/>
      <c r="N1302"/>
    </row>
    <row r="1303" spans="5:14">
      <c r="E1303" s="2" t="s">
        <v>60</v>
      </c>
      <c r="G1303"/>
      <c r="H1303" s="8" t="s">
        <v>172</v>
      </c>
      <c r="L1303"/>
      <c r="N1303"/>
    </row>
    <row r="1304" spans="5:14">
      <c r="E1304" s="2" t="s">
        <v>61</v>
      </c>
      <c r="G1304"/>
      <c r="H1304" s="8" t="s">
        <v>173</v>
      </c>
      <c r="L1304"/>
      <c r="N1304"/>
    </row>
    <row r="1305" spans="5:14">
      <c r="E1305" s="2" t="s">
        <v>62</v>
      </c>
      <c r="G1305"/>
      <c r="H1305" s="8" t="s">
        <v>174</v>
      </c>
      <c r="L1305"/>
      <c r="N1305"/>
    </row>
    <row r="1306" spans="5:14">
      <c r="E1306" s="2" t="s">
        <v>63</v>
      </c>
      <c r="G1306"/>
      <c r="H1306" s="8" t="s">
        <v>175</v>
      </c>
      <c r="L1306"/>
      <c r="N1306"/>
    </row>
    <row r="1307" spans="5:14">
      <c r="E1307" s="2" t="s">
        <v>65</v>
      </c>
      <c r="G1307"/>
      <c r="H1307" s="8" t="s">
        <v>176</v>
      </c>
      <c r="I1307"/>
      <c r="J1307"/>
      <c r="L1307"/>
      <c r="N1307"/>
    </row>
    <row r="1308" spans="5:14">
      <c r="E1308" s="2" t="s">
        <v>66</v>
      </c>
      <c r="G1308"/>
      <c r="H1308" s="8" t="s">
        <v>177</v>
      </c>
      <c r="I1308"/>
      <c r="J1308"/>
      <c r="L1308"/>
    </row>
    <row r="1309" spans="5:14">
      <c r="E1309" s="2" t="s">
        <v>67</v>
      </c>
      <c r="G1309"/>
      <c r="H1309" s="8" t="s">
        <v>178</v>
      </c>
      <c r="I1309"/>
      <c r="J1309"/>
      <c r="L1309"/>
    </row>
    <row r="1310" spans="5:14">
      <c r="E1310" s="2" t="s">
        <v>68</v>
      </c>
      <c r="G1310"/>
      <c r="H1310" s="8" t="s">
        <v>179</v>
      </c>
      <c r="I1310"/>
      <c r="J1310"/>
      <c r="L1310"/>
    </row>
    <row r="1311" spans="5:14">
      <c r="E1311" s="2" t="s">
        <v>69</v>
      </c>
      <c r="G1311"/>
      <c r="H1311" s="8" t="s">
        <v>180</v>
      </c>
      <c r="I1311"/>
      <c r="J1311"/>
      <c r="L1311"/>
      <c r="N1311" s="2" t="s">
        <v>320</v>
      </c>
    </row>
    <row r="1312" spans="5:14">
      <c r="E1312" s="2" t="s">
        <v>71</v>
      </c>
      <c r="G1312"/>
      <c r="H1312" s="8" t="s">
        <v>181</v>
      </c>
      <c r="I1312"/>
      <c r="J1312"/>
      <c r="L1312"/>
    </row>
    <row r="1313" spans="5:14">
      <c r="E1313" s="2" t="s">
        <v>72</v>
      </c>
      <c r="G1313"/>
      <c r="H1313" s="8" t="s">
        <v>182</v>
      </c>
      <c r="I1313"/>
      <c r="J1313"/>
      <c r="L1313"/>
    </row>
    <row r="1314" spans="5:14">
      <c r="E1314" s="2" t="s">
        <v>73</v>
      </c>
      <c r="G1314"/>
      <c r="H1314" s="8" t="s">
        <v>183</v>
      </c>
      <c r="I1314"/>
      <c r="J1314"/>
      <c r="L1314"/>
    </row>
    <row r="1315" spans="5:14">
      <c r="E1315" s="2" t="s">
        <v>74</v>
      </c>
      <c r="G1315"/>
      <c r="H1315" s="8" t="s">
        <v>184</v>
      </c>
      <c r="I1315"/>
      <c r="J1315"/>
      <c r="L1315"/>
    </row>
    <row r="1316" spans="5:14">
      <c r="E1316" s="2" t="s">
        <v>75</v>
      </c>
      <c r="G1316"/>
      <c r="H1316" s="8" t="s">
        <v>185</v>
      </c>
      <c r="I1316"/>
      <c r="J1316"/>
      <c r="L1316"/>
    </row>
    <row r="1317" spans="5:14">
      <c r="E1317" s="2" t="s">
        <v>77</v>
      </c>
      <c r="G1317"/>
      <c r="H1317" s="8" t="s">
        <v>186</v>
      </c>
      <c r="I1317"/>
      <c r="J1317"/>
      <c r="L1317"/>
    </row>
    <row r="1318" spans="5:14">
      <c r="E1318" s="2" t="s">
        <v>78</v>
      </c>
      <c r="G1318"/>
      <c r="H1318" s="8" t="s">
        <v>187</v>
      </c>
      <c r="I1318"/>
      <c r="J1318"/>
      <c r="L1318"/>
    </row>
    <row r="1319" spans="5:14">
      <c r="E1319" s="2" t="s">
        <v>79</v>
      </c>
      <c r="G1319"/>
      <c r="H1319" s="8" t="s">
        <v>188</v>
      </c>
      <c r="I1319"/>
      <c r="J1319"/>
      <c r="L1319"/>
    </row>
    <row r="1320" spans="5:14">
      <c r="E1320" s="2" t="s">
        <v>80</v>
      </c>
      <c r="G1320"/>
      <c r="H1320" s="8" t="s">
        <v>189</v>
      </c>
      <c r="I1320"/>
      <c r="J1320"/>
      <c r="L1320"/>
    </row>
    <row r="1321" spans="5:14">
      <c r="E1321" s="2" t="s">
        <v>81</v>
      </c>
      <c r="G1321"/>
      <c r="H1321" s="8" t="s">
        <v>190</v>
      </c>
      <c r="I1321"/>
      <c r="J1321"/>
      <c r="L1321"/>
      <c r="N1321" s="2" t="s">
        <v>321</v>
      </c>
    </row>
    <row r="1322" spans="5:14">
      <c r="E1322" s="2" t="s">
        <v>84</v>
      </c>
      <c r="G1322"/>
      <c r="H1322" s="8" t="s">
        <v>192</v>
      </c>
      <c r="I1322"/>
      <c r="J1322"/>
      <c r="L1322"/>
    </row>
    <row r="1323" spans="5:14">
      <c r="E1323" s="2" t="s">
        <v>85</v>
      </c>
      <c r="G1323"/>
      <c r="H1323" s="8" t="s">
        <v>193</v>
      </c>
      <c r="I1323"/>
      <c r="J1323"/>
      <c r="L1323"/>
    </row>
    <row r="1324" spans="5:14">
      <c r="E1324" s="2" t="s">
        <v>86</v>
      </c>
      <c r="G1324"/>
      <c r="H1324" s="8" t="s">
        <v>194</v>
      </c>
      <c r="I1324"/>
      <c r="J1324"/>
      <c r="L1324"/>
    </row>
    <row r="1325" spans="5:14">
      <c r="E1325" s="2" t="s">
        <v>87</v>
      </c>
      <c r="G1325"/>
      <c r="H1325" s="8" t="s">
        <v>195</v>
      </c>
      <c r="I1325"/>
      <c r="J1325"/>
      <c r="L1325"/>
    </row>
    <row r="1326" spans="5:14">
      <c r="E1326" s="2" t="s">
        <v>88</v>
      </c>
      <c r="G1326"/>
      <c r="H1326" s="8" t="s">
        <v>196</v>
      </c>
      <c r="I1326"/>
      <c r="J1326"/>
      <c r="L1326"/>
    </row>
    <row r="1327" spans="5:14">
      <c r="E1327" s="2" t="s">
        <v>90</v>
      </c>
      <c r="G1327"/>
      <c r="H1327" s="8" t="s">
        <v>197</v>
      </c>
      <c r="I1327"/>
      <c r="J1327"/>
      <c r="L1327"/>
    </row>
    <row r="1328" spans="5:14">
      <c r="E1328" s="2" t="s">
        <v>91</v>
      </c>
      <c r="G1328"/>
      <c r="H1328" s="8" t="s">
        <v>198</v>
      </c>
      <c r="I1328"/>
      <c r="J1328"/>
      <c r="L1328"/>
    </row>
    <row r="1329" spans="1:14">
      <c r="E1329" s="2" t="s">
        <v>92</v>
      </c>
      <c r="G1329"/>
      <c r="H1329" s="8" t="s">
        <v>199</v>
      </c>
      <c r="I1329"/>
      <c r="J1329"/>
      <c r="L1329"/>
    </row>
    <row r="1330" spans="1:14">
      <c r="E1330" s="2" t="s">
        <v>93</v>
      </c>
      <c r="G1330"/>
      <c r="H1330" s="8" t="s">
        <v>200</v>
      </c>
      <c r="I1330"/>
      <c r="J1330"/>
      <c r="L1330"/>
    </row>
    <row r="1331" spans="1:14">
      <c r="E1331" s="2" t="s">
        <v>94</v>
      </c>
      <c r="G1331"/>
      <c r="I1331"/>
      <c r="J1331"/>
      <c r="L1331"/>
    </row>
    <row r="1332" spans="1:14">
      <c r="G1332"/>
      <c r="I1332"/>
      <c r="J1332"/>
      <c r="L1332"/>
    </row>
    <row r="1333" spans="1:14">
      <c r="A1333" s="2" t="s">
        <v>322</v>
      </c>
      <c r="B1333" s="2" t="s">
        <v>323</v>
      </c>
      <c r="E1333" s="2" t="s">
        <v>34</v>
      </c>
      <c r="G1333"/>
      <c r="H1333" s="8" t="s">
        <v>149</v>
      </c>
      <c r="L1333"/>
      <c r="N1333"/>
    </row>
    <row r="1334" spans="1:14">
      <c r="E1334" s="2" t="s">
        <v>36</v>
      </c>
      <c r="G1334"/>
      <c r="H1334" s="8" t="s">
        <v>150</v>
      </c>
      <c r="L1334"/>
      <c r="N1334"/>
    </row>
    <row r="1335" spans="1:14">
      <c r="E1335" s="2" t="s">
        <v>37</v>
      </c>
      <c r="G1335"/>
      <c r="H1335" s="8" t="s">
        <v>151</v>
      </c>
      <c r="L1335"/>
      <c r="N1335"/>
    </row>
    <row r="1336" spans="1:14">
      <c r="E1336" s="2" t="s">
        <v>38</v>
      </c>
      <c r="G1336"/>
      <c r="H1336" s="8" t="s">
        <v>152</v>
      </c>
      <c r="L1336"/>
      <c r="N1336"/>
    </row>
    <row r="1337" spans="1:14">
      <c r="E1337" s="2" t="s">
        <v>39</v>
      </c>
      <c r="G1337"/>
      <c r="H1337" s="8" t="s">
        <v>153</v>
      </c>
      <c r="L1337"/>
      <c r="N1337"/>
    </row>
    <row r="1338" spans="1:14">
      <c r="E1338" s="2" t="s">
        <v>41</v>
      </c>
      <c r="G1338"/>
      <c r="H1338" s="8" t="s">
        <v>154</v>
      </c>
      <c r="L1338"/>
      <c r="N1338"/>
    </row>
    <row r="1339" spans="1:14">
      <c r="E1339" s="2" t="s">
        <v>42</v>
      </c>
      <c r="G1339"/>
      <c r="H1339" s="8" t="s">
        <v>155</v>
      </c>
      <c r="L1339"/>
      <c r="N1339"/>
    </row>
    <row r="1340" spans="1:14">
      <c r="E1340" s="2" t="s">
        <v>43</v>
      </c>
      <c r="G1340"/>
      <c r="H1340" s="8" t="s">
        <v>156</v>
      </c>
      <c r="I1340"/>
      <c r="J1340"/>
      <c r="L1340"/>
      <c r="N1340"/>
    </row>
    <row r="1341" spans="1:14">
      <c r="E1341" s="2" t="s">
        <v>44</v>
      </c>
      <c r="G1341"/>
      <c r="H1341" s="8" t="s">
        <v>157</v>
      </c>
      <c r="L1341"/>
      <c r="N1341"/>
    </row>
    <row r="1342" spans="1:14">
      <c r="E1342" s="2" t="s">
        <v>45</v>
      </c>
      <c r="G1342"/>
      <c r="H1342" s="8" t="s">
        <v>158</v>
      </c>
      <c r="I1342"/>
      <c r="J1342"/>
      <c r="L1342"/>
      <c r="N1342" t="s">
        <v>318</v>
      </c>
    </row>
    <row r="1343" spans="1:14">
      <c r="E1343" s="2" t="s">
        <v>47</v>
      </c>
      <c r="G1343"/>
      <c r="H1343" s="8" t="s">
        <v>160</v>
      </c>
      <c r="L1343"/>
      <c r="N1343"/>
    </row>
    <row r="1344" spans="1:14">
      <c r="E1344" s="2" t="s">
        <v>48</v>
      </c>
      <c r="G1344"/>
      <c r="H1344" s="8" t="s">
        <v>161</v>
      </c>
      <c r="L1344"/>
      <c r="N1344"/>
    </row>
    <row r="1345" spans="5:14">
      <c r="E1345" s="2" t="s">
        <v>49</v>
      </c>
      <c r="G1345"/>
      <c r="H1345" s="8" t="s">
        <v>162</v>
      </c>
      <c r="L1345"/>
      <c r="N1345"/>
    </row>
    <row r="1346" spans="5:14">
      <c r="E1346" s="2" t="s">
        <v>50</v>
      </c>
      <c r="G1346"/>
      <c r="H1346" s="8" t="s">
        <v>163</v>
      </c>
      <c r="L1346"/>
      <c r="N1346"/>
    </row>
    <row r="1347" spans="5:14">
      <c r="E1347" s="2" t="s">
        <v>51</v>
      </c>
      <c r="G1347"/>
      <c r="H1347" s="8" t="s">
        <v>164</v>
      </c>
      <c r="I1347"/>
      <c r="J1347"/>
      <c r="L1347"/>
      <c r="N1347"/>
    </row>
    <row r="1348" spans="5:14">
      <c r="E1348" s="2" t="s">
        <v>53</v>
      </c>
      <c r="G1348"/>
      <c r="H1348" s="8" t="s">
        <v>165</v>
      </c>
      <c r="L1348"/>
      <c r="N1348"/>
    </row>
    <row r="1349" spans="5:14">
      <c r="E1349" s="2" t="s">
        <v>54</v>
      </c>
      <c r="G1349"/>
      <c r="H1349" s="8" t="s">
        <v>166</v>
      </c>
      <c r="L1349"/>
      <c r="N1349"/>
    </row>
    <row r="1350" spans="5:14">
      <c r="E1350" s="2" t="s">
        <v>55</v>
      </c>
      <c r="G1350"/>
      <c r="H1350" s="8" t="s">
        <v>167</v>
      </c>
      <c r="L1350"/>
      <c r="N1350"/>
    </row>
    <row r="1351" spans="5:14">
      <c r="E1351" s="2" t="s">
        <v>56</v>
      </c>
      <c r="G1351"/>
      <c r="H1351" s="8" t="s">
        <v>168</v>
      </c>
      <c r="L1351"/>
      <c r="N1351"/>
    </row>
    <row r="1352" spans="5:14">
      <c r="E1352" s="2" t="s">
        <v>57</v>
      </c>
      <c r="G1352"/>
      <c r="H1352" s="8" t="s">
        <v>169</v>
      </c>
      <c r="L1352"/>
      <c r="N1352" t="s">
        <v>324</v>
      </c>
    </row>
    <row r="1353" spans="5:14">
      <c r="E1353" s="2" t="s">
        <v>59</v>
      </c>
      <c r="G1353"/>
      <c r="H1353" s="8" t="s">
        <v>171</v>
      </c>
      <c r="L1353"/>
      <c r="N1353"/>
    </row>
    <row r="1354" spans="5:14">
      <c r="E1354" s="2" t="s">
        <v>60</v>
      </c>
      <c r="G1354"/>
      <c r="H1354" s="8" t="s">
        <v>172</v>
      </c>
      <c r="L1354"/>
      <c r="N1354"/>
    </row>
    <row r="1355" spans="5:14">
      <c r="E1355" s="2" t="s">
        <v>61</v>
      </c>
      <c r="G1355"/>
      <c r="H1355" s="8" t="s">
        <v>173</v>
      </c>
      <c r="L1355"/>
      <c r="N1355"/>
    </row>
    <row r="1356" spans="5:14">
      <c r="E1356" s="2" t="s">
        <v>62</v>
      </c>
      <c r="G1356"/>
      <c r="H1356" s="8" t="s">
        <v>174</v>
      </c>
      <c r="L1356"/>
      <c r="N1356"/>
    </row>
    <row r="1357" spans="5:14">
      <c r="E1357" s="2" t="s">
        <v>63</v>
      </c>
      <c r="G1357"/>
      <c r="H1357" s="8" t="s">
        <v>175</v>
      </c>
      <c r="L1357"/>
      <c r="N1357"/>
    </row>
    <row r="1358" spans="5:14">
      <c r="E1358" s="2" t="s">
        <v>65</v>
      </c>
      <c r="G1358"/>
      <c r="H1358" s="8" t="s">
        <v>176</v>
      </c>
      <c r="I1358"/>
      <c r="J1358"/>
      <c r="L1358"/>
      <c r="N1358"/>
    </row>
    <row r="1359" spans="5:14">
      <c r="E1359" s="2" t="s">
        <v>66</v>
      </c>
      <c r="G1359"/>
      <c r="H1359" s="8" t="s">
        <v>177</v>
      </c>
      <c r="I1359"/>
      <c r="J1359"/>
      <c r="L1359"/>
    </row>
    <row r="1360" spans="5:14">
      <c r="E1360" s="2" t="s">
        <v>67</v>
      </c>
      <c r="G1360"/>
      <c r="H1360" s="8" t="s">
        <v>178</v>
      </c>
      <c r="I1360"/>
      <c r="J1360"/>
      <c r="L1360"/>
    </row>
    <row r="1361" spans="5:14">
      <c r="E1361" s="2" t="s">
        <v>68</v>
      </c>
      <c r="G1361"/>
      <c r="H1361" s="8" t="s">
        <v>179</v>
      </c>
      <c r="I1361"/>
      <c r="J1361"/>
      <c r="L1361"/>
    </row>
    <row r="1362" spans="5:14">
      <c r="E1362" s="2" t="s">
        <v>69</v>
      </c>
      <c r="G1362"/>
      <c r="H1362" s="8" t="s">
        <v>180</v>
      </c>
      <c r="I1362"/>
      <c r="J1362"/>
      <c r="L1362"/>
      <c r="N1362" s="2" t="s">
        <v>320</v>
      </c>
    </row>
    <row r="1363" spans="5:14">
      <c r="E1363" s="2" t="s">
        <v>71</v>
      </c>
      <c r="G1363"/>
      <c r="H1363" s="8" t="s">
        <v>181</v>
      </c>
      <c r="I1363"/>
      <c r="J1363"/>
      <c r="L1363"/>
    </row>
    <row r="1364" spans="5:14">
      <c r="E1364" s="2" t="s">
        <v>72</v>
      </c>
      <c r="G1364"/>
      <c r="H1364" s="8" t="s">
        <v>182</v>
      </c>
      <c r="I1364"/>
      <c r="J1364"/>
      <c r="L1364"/>
    </row>
    <row r="1365" spans="5:14">
      <c r="E1365" s="2" t="s">
        <v>73</v>
      </c>
      <c r="G1365"/>
      <c r="H1365" s="8" t="s">
        <v>183</v>
      </c>
      <c r="I1365"/>
      <c r="J1365"/>
      <c r="L1365"/>
    </row>
    <row r="1366" spans="5:14">
      <c r="E1366" s="2" t="s">
        <v>74</v>
      </c>
      <c r="G1366"/>
      <c r="H1366" s="8" t="s">
        <v>184</v>
      </c>
      <c r="I1366"/>
      <c r="J1366"/>
      <c r="L1366"/>
    </row>
    <row r="1367" spans="5:14">
      <c r="E1367" s="2" t="s">
        <v>75</v>
      </c>
      <c r="G1367"/>
      <c r="H1367" s="8" t="s">
        <v>185</v>
      </c>
      <c r="I1367"/>
      <c r="J1367"/>
      <c r="L1367"/>
    </row>
    <row r="1368" spans="5:14">
      <c r="E1368" s="2" t="s">
        <v>77</v>
      </c>
      <c r="G1368"/>
      <c r="H1368" s="8" t="s">
        <v>186</v>
      </c>
      <c r="I1368"/>
      <c r="J1368"/>
      <c r="L1368"/>
    </row>
    <row r="1369" spans="5:14">
      <c r="E1369" s="2" t="s">
        <v>78</v>
      </c>
      <c r="G1369"/>
      <c r="H1369" s="8" t="s">
        <v>187</v>
      </c>
      <c r="I1369"/>
      <c r="J1369"/>
      <c r="L1369"/>
    </row>
    <row r="1370" spans="5:14">
      <c r="E1370" s="2" t="s">
        <v>79</v>
      </c>
      <c r="G1370"/>
      <c r="H1370" s="8" t="s">
        <v>188</v>
      </c>
      <c r="I1370"/>
      <c r="J1370"/>
      <c r="L1370"/>
    </row>
    <row r="1371" spans="5:14">
      <c r="E1371" s="2" t="s">
        <v>80</v>
      </c>
      <c r="G1371"/>
      <c r="H1371" s="8" t="s">
        <v>189</v>
      </c>
      <c r="I1371"/>
      <c r="J1371"/>
      <c r="L1371"/>
    </row>
    <row r="1372" spans="5:14">
      <c r="E1372" s="2" t="s">
        <v>81</v>
      </c>
      <c r="G1372"/>
      <c r="H1372" s="8" t="s">
        <v>190</v>
      </c>
      <c r="I1372"/>
      <c r="J1372"/>
      <c r="L1372"/>
      <c r="N1372" s="2" t="s">
        <v>321</v>
      </c>
    </row>
    <row r="1373" spans="5:14">
      <c r="E1373" s="2" t="s">
        <v>84</v>
      </c>
      <c r="G1373"/>
      <c r="H1373" s="8" t="s">
        <v>192</v>
      </c>
      <c r="I1373"/>
      <c r="J1373"/>
      <c r="L1373"/>
    </row>
    <row r="1374" spans="5:14">
      <c r="E1374" s="2" t="s">
        <v>85</v>
      </c>
      <c r="G1374"/>
      <c r="H1374" s="8" t="s">
        <v>193</v>
      </c>
      <c r="I1374"/>
      <c r="J1374"/>
      <c r="L1374"/>
    </row>
    <row r="1375" spans="5:14">
      <c r="E1375" s="2" t="s">
        <v>86</v>
      </c>
      <c r="G1375"/>
      <c r="H1375" s="8" t="s">
        <v>194</v>
      </c>
      <c r="I1375"/>
      <c r="J1375"/>
      <c r="L1375"/>
    </row>
    <row r="1376" spans="5:14">
      <c r="E1376" s="2" t="s">
        <v>87</v>
      </c>
      <c r="G1376"/>
      <c r="H1376" s="8" t="s">
        <v>195</v>
      </c>
      <c r="I1376"/>
      <c r="J1376"/>
      <c r="L1376"/>
    </row>
    <row r="1377" spans="1:12">
      <c r="E1377" s="2" t="s">
        <v>88</v>
      </c>
      <c r="G1377"/>
      <c r="H1377" s="8" t="s">
        <v>196</v>
      </c>
      <c r="I1377"/>
      <c r="J1377"/>
      <c r="L1377"/>
    </row>
    <row r="1378" spans="1:12">
      <c r="E1378" s="2" t="s">
        <v>90</v>
      </c>
      <c r="G1378"/>
      <c r="H1378" s="8" t="s">
        <v>197</v>
      </c>
      <c r="I1378"/>
      <c r="J1378"/>
      <c r="L1378"/>
    </row>
    <row r="1379" spans="1:12">
      <c r="E1379" s="2" t="s">
        <v>91</v>
      </c>
      <c r="G1379"/>
      <c r="H1379" s="8" t="s">
        <v>198</v>
      </c>
      <c r="I1379"/>
      <c r="J1379"/>
      <c r="L1379"/>
    </row>
    <row r="1380" spans="1:12">
      <c r="E1380" s="2" t="s">
        <v>92</v>
      </c>
      <c r="G1380"/>
      <c r="H1380" s="8" t="s">
        <v>199</v>
      </c>
      <c r="I1380"/>
      <c r="J1380"/>
      <c r="L1380"/>
    </row>
    <row r="1381" spans="1:12">
      <c r="E1381" s="2" t="s">
        <v>93</v>
      </c>
      <c r="G1381"/>
      <c r="H1381" s="8" t="s">
        <v>200</v>
      </c>
      <c r="I1381"/>
      <c r="J1381"/>
      <c r="L1381"/>
    </row>
    <row r="1382" spans="1:12">
      <c r="E1382" s="2" t="s">
        <v>94</v>
      </c>
      <c r="G1382"/>
      <c r="I1382"/>
      <c r="J1382"/>
      <c r="L1382"/>
    </row>
    <row r="1383" spans="1:12">
      <c r="G1383"/>
      <c r="I1383"/>
      <c r="J1383"/>
      <c r="L1383"/>
    </row>
    <row r="1384" spans="1:12">
      <c r="A1384" s="2" t="s">
        <v>325</v>
      </c>
      <c r="B1384" s="2" t="s">
        <v>326</v>
      </c>
      <c r="E1384" s="2" t="s">
        <v>34</v>
      </c>
      <c r="G1384"/>
      <c r="H1384" s="2" t="s">
        <v>222</v>
      </c>
      <c r="L1384"/>
    </row>
    <row r="1385" spans="1:12">
      <c r="E1385" s="2" t="s">
        <v>36</v>
      </c>
      <c r="G1385"/>
      <c r="H1385" s="2" t="s">
        <v>223</v>
      </c>
      <c r="L1385"/>
    </row>
    <row r="1386" spans="1:12">
      <c r="E1386" s="2" t="s">
        <v>37</v>
      </c>
      <c r="G1386"/>
      <c r="H1386" s="2" t="s">
        <v>224</v>
      </c>
      <c r="L1386"/>
    </row>
    <row r="1387" spans="1:12">
      <c r="E1387" s="2" t="s">
        <v>38</v>
      </c>
      <c r="G1387"/>
      <c r="H1387" s="2" t="s">
        <v>225</v>
      </c>
      <c r="L1387"/>
    </row>
    <row r="1388" spans="1:12">
      <c r="E1388" s="2" t="s">
        <v>39</v>
      </c>
      <c r="G1388"/>
      <c r="H1388" s="2" t="s">
        <v>226</v>
      </c>
      <c r="L1388"/>
    </row>
    <row r="1389" spans="1:12">
      <c r="E1389" s="2" t="s">
        <v>41</v>
      </c>
      <c r="G1389"/>
      <c r="H1389" s="2" t="s">
        <v>227</v>
      </c>
      <c r="L1389"/>
    </row>
    <row r="1390" spans="1:12">
      <c r="E1390" s="2" t="s">
        <v>42</v>
      </c>
      <c r="G1390"/>
      <c r="H1390" s="2" t="s">
        <v>228</v>
      </c>
      <c r="L1390"/>
    </row>
    <row r="1391" spans="1:12">
      <c r="E1391" s="2" t="s">
        <v>43</v>
      </c>
      <c r="G1391"/>
      <c r="H1391" s="2" t="s">
        <v>229</v>
      </c>
      <c r="I1391"/>
      <c r="J1391"/>
      <c r="L1391"/>
    </row>
    <row r="1392" spans="1:12">
      <c r="E1392" s="2" t="s">
        <v>44</v>
      </c>
      <c r="G1392"/>
      <c r="H1392" s="2" t="s">
        <v>230</v>
      </c>
      <c r="L1392"/>
    </row>
    <row r="1393" spans="1:14">
      <c r="E1393" s="2" t="s">
        <v>45</v>
      </c>
      <c r="G1393"/>
      <c r="I1393"/>
      <c r="J1393"/>
      <c r="L1393"/>
    </row>
    <row r="1394" spans="1:14">
      <c r="E1394" s="2" t="s">
        <v>47</v>
      </c>
      <c r="G1394"/>
      <c r="I1394"/>
      <c r="J1394"/>
      <c r="L1394"/>
    </row>
    <row r="1395" spans="1:14">
      <c r="E1395" s="2" t="s">
        <v>48</v>
      </c>
      <c r="G1395"/>
      <c r="I1395"/>
      <c r="J1395"/>
      <c r="L1395"/>
    </row>
    <row r="1396" spans="1:14">
      <c r="G1396"/>
      <c r="I1396"/>
      <c r="J1396"/>
      <c r="L1396"/>
    </row>
    <row r="1397" spans="1:14">
      <c r="A1397" s="2" t="s">
        <v>327</v>
      </c>
      <c r="B1397" s="2" t="s">
        <v>328</v>
      </c>
      <c r="E1397" s="2" t="s">
        <v>34</v>
      </c>
      <c r="G1397"/>
      <c r="H1397" s="8" t="s">
        <v>149</v>
      </c>
      <c r="L1397"/>
      <c r="N1397"/>
    </row>
    <row r="1398" spans="1:14">
      <c r="E1398" s="2" t="s">
        <v>36</v>
      </c>
      <c r="G1398"/>
      <c r="H1398" s="8" t="s">
        <v>150</v>
      </c>
      <c r="L1398"/>
      <c r="N1398"/>
    </row>
    <row r="1399" spans="1:14">
      <c r="E1399" s="2" t="s">
        <v>37</v>
      </c>
      <c r="G1399"/>
      <c r="H1399" s="8" t="s">
        <v>151</v>
      </c>
      <c r="L1399"/>
      <c r="N1399"/>
    </row>
    <row r="1400" spans="1:14">
      <c r="E1400" s="2" t="s">
        <v>38</v>
      </c>
      <c r="G1400"/>
      <c r="H1400" s="8" t="s">
        <v>152</v>
      </c>
      <c r="L1400"/>
      <c r="N1400"/>
    </row>
    <row r="1401" spans="1:14">
      <c r="E1401" s="2" t="s">
        <v>39</v>
      </c>
      <c r="G1401"/>
      <c r="H1401" s="8" t="s">
        <v>153</v>
      </c>
      <c r="L1401"/>
      <c r="N1401"/>
    </row>
    <row r="1402" spans="1:14">
      <c r="E1402" s="2" t="s">
        <v>41</v>
      </c>
      <c r="G1402"/>
      <c r="H1402" s="8" t="s">
        <v>154</v>
      </c>
      <c r="L1402"/>
      <c r="N1402"/>
    </row>
    <row r="1403" spans="1:14">
      <c r="E1403" s="2" t="s">
        <v>42</v>
      </c>
      <c r="G1403"/>
      <c r="H1403" s="8" t="s">
        <v>155</v>
      </c>
      <c r="L1403"/>
      <c r="N1403"/>
    </row>
    <row r="1404" spans="1:14">
      <c r="E1404" s="2" t="s">
        <v>43</v>
      </c>
      <c r="G1404"/>
      <c r="H1404" s="8" t="s">
        <v>156</v>
      </c>
      <c r="I1404"/>
      <c r="J1404"/>
      <c r="L1404"/>
      <c r="N1404"/>
    </row>
    <row r="1405" spans="1:14">
      <c r="E1405" s="2" t="s">
        <v>44</v>
      </c>
      <c r="G1405"/>
      <c r="H1405" s="8" t="s">
        <v>157</v>
      </c>
      <c r="L1405"/>
      <c r="N1405"/>
    </row>
    <row r="1406" spans="1:14">
      <c r="E1406" s="2" t="s">
        <v>45</v>
      </c>
      <c r="G1406"/>
      <c r="H1406" s="8" t="s">
        <v>158</v>
      </c>
      <c r="I1406"/>
      <c r="J1406"/>
      <c r="L1406"/>
      <c r="N1406" t="s">
        <v>329</v>
      </c>
    </row>
    <row r="1407" spans="1:14">
      <c r="E1407" s="2" t="s">
        <v>47</v>
      </c>
      <c r="G1407"/>
      <c r="H1407" s="8" t="s">
        <v>160</v>
      </c>
      <c r="L1407"/>
      <c r="N1407"/>
    </row>
    <row r="1408" spans="1:14">
      <c r="E1408" s="2" t="s">
        <v>48</v>
      </c>
      <c r="G1408"/>
      <c r="H1408" s="8" t="s">
        <v>161</v>
      </c>
      <c r="L1408"/>
      <c r="N1408"/>
    </row>
    <row r="1409" spans="5:14">
      <c r="E1409" s="2" t="s">
        <v>49</v>
      </c>
      <c r="G1409"/>
      <c r="H1409" s="8" t="s">
        <v>162</v>
      </c>
      <c r="L1409"/>
      <c r="N1409"/>
    </row>
    <row r="1410" spans="5:14">
      <c r="E1410" s="2" t="s">
        <v>50</v>
      </c>
      <c r="G1410"/>
      <c r="H1410" s="8" t="s">
        <v>163</v>
      </c>
      <c r="L1410"/>
      <c r="N1410"/>
    </row>
    <row r="1411" spans="5:14">
      <c r="E1411" s="2" t="s">
        <v>51</v>
      </c>
      <c r="G1411"/>
      <c r="H1411" s="8" t="s">
        <v>164</v>
      </c>
      <c r="I1411"/>
      <c r="J1411"/>
      <c r="L1411"/>
      <c r="N1411"/>
    </row>
    <row r="1412" spans="5:14">
      <c r="E1412" s="2" t="s">
        <v>53</v>
      </c>
      <c r="G1412"/>
      <c r="H1412" s="8" t="s">
        <v>165</v>
      </c>
      <c r="L1412"/>
      <c r="N1412"/>
    </row>
    <row r="1413" spans="5:14">
      <c r="E1413" s="2" t="s">
        <v>54</v>
      </c>
      <c r="G1413"/>
      <c r="H1413" s="8" t="s">
        <v>166</v>
      </c>
      <c r="L1413"/>
      <c r="N1413"/>
    </row>
    <row r="1414" spans="5:14">
      <c r="E1414" s="2" t="s">
        <v>55</v>
      </c>
      <c r="G1414"/>
      <c r="H1414" s="8" t="s">
        <v>167</v>
      </c>
      <c r="L1414"/>
      <c r="N1414"/>
    </row>
    <row r="1415" spans="5:14">
      <c r="E1415" s="2" t="s">
        <v>56</v>
      </c>
      <c r="G1415"/>
      <c r="H1415" s="8" t="s">
        <v>168</v>
      </c>
      <c r="L1415"/>
      <c r="N1415"/>
    </row>
    <row r="1416" spans="5:14">
      <c r="E1416" s="2" t="s">
        <v>57</v>
      </c>
      <c r="G1416"/>
      <c r="H1416" s="8" t="s">
        <v>169</v>
      </c>
      <c r="L1416"/>
      <c r="N1416" t="s">
        <v>330</v>
      </c>
    </row>
    <row r="1417" spans="5:14">
      <c r="E1417" s="2" t="s">
        <v>59</v>
      </c>
      <c r="G1417"/>
      <c r="H1417" s="8" t="s">
        <v>171</v>
      </c>
      <c r="L1417"/>
      <c r="N1417"/>
    </row>
    <row r="1418" spans="5:14">
      <c r="E1418" s="2" t="s">
        <v>60</v>
      </c>
      <c r="G1418"/>
      <c r="H1418" s="8" t="s">
        <v>172</v>
      </c>
      <c r="L1418"/>
      <c r="N1418"/>
    </row>
    <row r="1419" spans="5:14">
      <c r="E1419" s="2" t="s">
        <v>61</v>
      </c>
      <c r="G1419"/>
      <c r="H1419" s="8" t="s">
        <v>173</v>
      </c>
      <c r="L1419"/>
      <c r="N1419"/>
    </row>
    <row r="1420" spans="5:14">
      <c r="E1420" s="2" t="s">
        <v>62</v>
      </c>
      <c r="G1420"/>
      <c r="H1420" s="8" t="s">
        <v>174</v>
      </c>
      <c r="L1420"/>
      <c r="N1420"/>
    </row>
    <row r="1421" spans="5:14">
      <c r="E1421" s="2" t="s">
        <v>63</v>
      </c>
      <c r="G1421"/>
      <c r="H1421" s="8" t="s">
        <v>175</v>
      </c>
      <c r="L1421"/>
      <c r="N1421"/>
    </row>
    <row r="1422" spans="5:14">
      <c r="E1422" s="2" t="s">
        <v>65</v>
      </c>
      <c r="G1422"/>
      <c r="H1422" s="8" t="s">
        <v>176</v>
      </c>
      <c r="I1422"/>
      <c r="J1422"/>
      <c r="L1422"/>
      <c r="N1422"/>
    </row>
    <row r="1423" spans="5:14">
      <c r="E1423" s="2" t="s">
        <v>66</v>
      </c>
      <c r="G1423"/>
      <c r="H1423" s="8" t="s">
        <v>177</v>
      </c>
      <c r="I1423"/>
      <c r="J1423"/>
      <c r="L1423"/>
      <c r="N1423"/>
    </row>
    <row r="1424" spans="5:14">
      <c r="E1424" s="2" t="s">
        <v>67</v>
      </c>
      <c r="G1424"/>
      <c r="H1424" s="8" t="s">
        <v>178</v>
      </c>
      <c r="I1424"/>
      <c r="J1424"/>
      <c r="L1424"/>
      <c r="N1424"/>
    </row>
    <row r="1425" spans="5:14">
      <c r="E1425" s="2" t="s">
        <v>68</v>
      </c>
      <c r="G1425"/>
      <c r="H1425" s="8" t="s">
        <v>179</v>
      </c>
      <c r="I1425"/>
      <c r="J1425"/>
      <c r="L1425"/>
    </row>
    <row r="1426" spans="5:14">
      <c r="E1426" s="2" t="s">
        <v>69</v>
      </c>
      <c r="G1426"/>
      <c r="H1426" s="8" t="s">
        <v>180</v>
      </c>
      <c r="I1426"/>
      <c r="J1426"/>
      <c r="L1426"/>
      <c r="N1426" s="2" t="s">
        <v>331</v>
      </c>
    </row>
    <row r="1427" spans="5:14">
      <c r="E1427" s="2" t="s">
        <v>71</v>
      </c>
      <c r="G1427"/>
      <c r="H1427" s="8" t="s">
        <v>181</v>
      </c>
      <c r="I1427"/>
      <c r="J1427"/>
      <c r="L1427"/>
    </row>
    <row r="1428" spans="5:14">
      <c r="E1428" s="2" t="s">
        <v>72</v>
      </c>
      <c r="G1428"/>
      <c r="H1428" s="8" t="s">
        <v>182</v>
      </c>
      <c r="I1428"/>
      <c r="J1428"/>
      <c r="L1428"/>
    </row>
    <row r="1429" spans="5:14">
      <c r="E1429" s="2" t="s">
        <v>73</v>
      </c>
      <c r="G1429"/>
      <c r="H1429" s="8" t="s">
        <v>183</v>
      </c>
      <c r="I1429"/>
      <c r="J1429"/>
      <c r="L1429"/>
    </row>
    <row r="1430" spans="5:14">
      <c r="E1430" s="2" t="s">
        <v>74</v>
      </c>
      <c r="G1430"/>
      <c r="H1430" s="8" t="s">
        <v>184</v>
      </c>
      <c r="I1430"/>
      <c r="J1430"/>
      <c r="L1430"/>
    </row>
    <row r="1431" spans="5:14">
      <c r="E1431" s="2" t="s">
        <v>75</v>
      </c>
      <c r="G1431"/>
      <c r="H1431" s="8" t="s">
        <v>185</v>
      </c>
      <c r="I1431"/>
      <c r="J1431"/>
      <c r="L1431"/>
    </row>
    <row r="1432" spans="5:14">
      <c r="E1432" s="2" t="s">
        <v>77</v>
      </c>
      <c r="G1432"/>
      <c r="H1432" s="8" t="s">
        <v>186</v>
      </c>
      <c r="I1432"/>
      <c r="J1432"/>
      <c r="L1432"/>
    </row>
    <row r="1433" spans="5:14">
      <c r="E1433" s="2" t="s">
        <v>78</v>
      </c>
      <c r="G1433"/>
      <c r="H1433" s="8" t="s">
        <v>187</v>
      </c>
      <c r="I1433"/>
      <c r="J1433"/>
      <c r="L1433"/>
    </row>
    <row r="1434" spans="5:14">
      <c r="E1434" s="2" t="s">
        <v>79</v>
      </c>
      <c r="G1434"/>
      <c r="H1434" s="8" t="s">
        <v>188</v>
      </c>
      <c r="I1434"/>
      <c r="J1434"/>
      <c r="L1434"/>
    </row>
    <row r="1435" spans="5:14">
      <c r="E1435" s="2" t="s">
        <v>80</v>
      </c>
      <c r="G1435"/>
      <c r="H1435" s="8" t="s">
        <v>189</v>
      </c>
      <c r="I1435"/>
      <c r="J1435"/>
      <c r="L1435"/>
    </row>
    <row r="1436" spans="5:14">
      <c r="E1436" s="2" t="s">
        <v>81</v>
      </c>
      <c r="G1436"/>
      <c r="H1436" s="8" t="s">
        <v>190</v>
      </c>
      <c r="I1436"/>
      <c r="J1436"/>
      <c r="L1436"/>
      <c r="N1436" s="2" t="s">
        <v>332</v>
      </c>
    </row>
    <row r="1437" spans="5:14">
      <c r="E1437" s="2" t="s">
        <v>84</v>
      </c>
      <c r="G1437"/>
      <c r="H1437" s="8" t="s">
        <v>192</v>
      </c>
      <c r="I1437"/>
      <c r="J1437"/>
      <c r="L1437"/>
    </row>
    <row r="1438" spans="5:14">
      <c r="E1438" s="2" t="s">
        <v>85</v>
      </c>
      <c r="G1438"/>
      <c r="H1438" s="8" t="s">
        <v>193</v>
      </c>
      <c r="I1438"/>
      <c r="J1438"/>
      <c r="L1438"/>
    </row>
    <row r="1439" spans="5:14">
      <c r="E1439" s="2" t="s">
        <v>86</v>
      </c>
      <c r="G1439"/>
      <c r="H1439" s="8" t="s">
        <v>194</v>
      </c>
      <c r="I1439"/>
      <c r="J1439"/>
      <c r="L1439"/>
    </row>
    <row r="1440" spans="5:14">
      <c r="E1440" s="2" t="s">
        <v>87</v>
      </c>
      <c r="G1440"/>
      <c r="H1440" s="8" t="s">
        <v>195</v>
      </c>
      <c r="I1440"/>
      <c r="J1440"/>
      <c r="L1440"/>
    </row>
    <row r="1441" spans="1:14">
      <c r="E1441" s="2" t="s">
        <v>88</v>
      </c>
      <c r="G1441"/>
      <c r="H1441" s="8" t="s">
        <v>196</v>
      </c>
      <c r="I1441"/>
      <c r="J1441"/>
      <c r="L1441"/>
    </row>
    <row r="1442" spans="1:14">
      <c r="E1442" s="2" t="s">
        <v>90</v>
      </c>
      <c r="G1442"/>
      <c r="H1442" s="8" t="s">
        <v>197</v>
      </c>
      <c r="I1442"/>
      <c r="J1442"/>
      <c r="L1442"/>
    </row>
    <row r="1443" spans="1:14">
      <c r="E1443" s="2" t="s">
        <v>91</v>
      </c>
      <c r="G1443"/>
      <c r="H1443" s="8" t="s">
        <v>198</v>
      </c>
      <c r="I1443"/>
      <c r="J1443"/>
      <c r="L1443"/>
    </row>
    <row r="1444" spans="1:14">
      <c r="E1444" s="2" t="s">
        <v>92</v>
      </c>
      <c r="G1444"/>
      <c r="H1444" s="8" t="s">
        <v>199</v>
      </c>
      <c r="I1444"/>
      <c r="J1444"/>
      <c r="L1444"/>
    </row>
    <row r="1445" spans="1:14">
      <c r="E1445" s="2" t="s">
        <v>93</v>
      </c>
      <c r="G1445"/>
      <c r="H1445" s="8" t="s">
        <v>200</v>
      </c>
      <c r="I1445"/>
      <c r="J1445"/>
      <c r="L1445"/>
    </row>
    <row r="1446" spans="1:14">
      <c r="E1446" s="2" t="s">
        <v>94</v>
      </c>
      <c r="G1446"/>
      <c r="I1446"/>
      <c r="J1446"/>
      <c r="L1446"/>
    </row>
    <row r="1447" spans="1:14">
      <c r="G1447"/>
      <c r="I1447"/>
      <c r="J1447"/>
      <c r="L1447"/>
    </row>
    <row r="1448" spans="1:14">
      <c r="A1448" t="s">
        <v>333</v>
      </c>
      <c r="B1448" s="2" t="s">
        <v>334</v>
      </c>
      <c r="E1448" s="2" t="s">
        <v>34</v>
      </c>
      <c r="G1448"/>
      <c r="H1448" s="8" t="s">
        <v>149</v>
      </c>
      <c r="L1448"/>
      <c r="N1448"/>
    </row>
    <row r="1449" spans="1:14">
      <c r="E1449" s="2" t="s">
        <v>36</v>
      </c>
      <c r="G1449"/>
      <c r="H1449" s="8" t="s">
        <v>150</v>
      </c>
      <c r="L1449"/>
      <c r="N1449"/>
    </row>
    <row r="1450" spans="1:14">
      <c r="E1450" s="2" t="s">
        <v>37</v>
      </c>
      <c r="G1450"/>
      <c r="H1450" s="8" t="s">
        <v>151</v>
      </c>
      <c r="L1450"/>
      <c r="N1450"/>
    </row>
    <row r="1451" spans="1:14">
      <c r="E1451" s="2" t="s">
        <v>38</v>
      </c>
      <c r="G1451"/>
      <c r="H1451" s="8" t="s">
        <v>152</v>
      </c>
      <c r="L1451"/>
      <c r="N1451"/>
    </row>
    <row r="1452" spans="1:14">
      <c r="E1452" s="2" t="s">
        <v>39</v>
      </c>
      <c r="G1452"/>
      <c r="H1452" s="8" t="s">
        <v>153</v>
      </c>
      <c r="L1452"/>
      <c r="N1452"/>
    </row>
    <row r="1453" spans="1:14">
      <c r="E1453" s="2" t="s">
        <v>41</v>
      </c>
      <c r="G1453"/>
      <c r="H1453" s="8" t="s">
        <v>154</v>
      </c>
      <c r="L1453"/>
      <c r="N1453"/>
    </row>
    <row r="1454" spans="1:14">
      <c r="E1454" s="2" t="s">
        <v>42</v>
      </c>
      <c r="G1454"/>
      <c r="H1454" s="8" t="s">
        <v>155</v>
      </c>
      <c r="L1454"/>
      <c r="N1454"/>
    </row>
    <row r="1455" spans="1:14">
      <c r="E1455" s="2" t="s">
        <v>43</v>
      </c>
      <c r="G1455"/>
      <c r="H1455" s="8" t="s">
        <v>156</v>
      </c>
      <c r="I1455"/>
      <c r="J1455"/>
      <c r="L1455"/>
      <c r="N1455"/>
    </row>
    <row r="1456" spans="1:14">
      <c r="E1456" s="2" t="s">
        <v>44</v>
      </c>
      <c r="G1456"/>
      <c r="H1456" s="8" t="s">
        <v>157</v>
      </c>
      <c r="L1456"/>
      <c r="N1456"/>
    </row>
    <row r="1457" spans="5:14">
      <c r="E1457" s="2" t="s">
        <v>45</v>
      </c>
      <c r="G1457"/>
      <c r="H1457" s="8" t="s">
        <v>158</v>
      </c>
      <c r="I1457"/>
      <c r="J1457"/>
      <c r="L1457"/>
      <c r="N1457" t="s">
        <v>335</v>
      </c>
    </row>
    <row r="1458" spans="5:14">
      <c r="E1458" s="2" t="s">
        <v>47</v>
      </c>
      <c r="G1458"/>
      <c r="H1458" s="8" t="s">
        <v>160</v>
      </c>
      <c r="L1458"/>
      <c r="N1458"/>
    </row>
    <row r="1459" spans="5:14">
      <c r="E1459" s="2" t="s">
        <v>48</v>
      </c>
      <c r="G1459"/>
      <c r="H1459" s="8" t="s">
        <v>161</v>
      </c>
      <c r="L1459"/>
      <c r="N1459"/>
    </row>
    <row r="1460" spans="5:14">
      <c r="E1460" s="2" t="s">
        <v>49</v>
      </c>
      <c r="G1460"/>
      <c r="H1460" s="8" t="s">
        <v>162</v>
      </c>
      <c r="L1460"/>
      <c r="N1460"/>
    </row>
    <row r="1461" spans="5:14">
      <c r="E1461" s="2" t="s">
        <v>50</v>
      </c>
      <c r="G1461"/>
      <c r="H1461" s="8" t="s">
        <v>163</v>
      </c>
      <c r="L1461"/>
      <c r="N1461"/>
    </row>
    <row r="1462" spans="5:14">
      <c r="E1462" s="2" t="s">
        <v>51</v>
      </c>
      <c r="G1462"/>
      <c r="H1462" s="8" t="s">
        <v>164</v>
      </c>
      <c r="I1462"/>
      <c r="J1462"/>
      <c r="L1462"/>
      <c r="N1462"/>
    </row>
    <row r="1463" spans="5:14">
      <c r="E1463" s="2" t="s">
        <v>53</v>
      </c>
      <c r="G1463"/>
      <c r="H1463" s="8" t="s">
        <v>165</v>
      </c>
      <c r="L1463"/>
      <c r="N1463"/>
    </row>
    <row r="1464" spans="5:14">
      <c r="E1464" s="2" t="s">
        <v>54</v>
      </c>
      <c r="G1464"/>
      <c r="H1464" s="8" t="s">
        <v>166</v>
      </c>
      <c r="L1464"/>
      <c r="N1464"/>
    </row>
    <row r="1465" spans="5:14">
      <c r="E1465" s="2" t="s">
        <v>55</v>
      </c>
      <c r="G1465"/>
      <c r="H1465" s="8" t="s">
        <v>167</v>
      </c>
      <c r="L1465"/>
      <c r="N1465"/>
    </row>
    <row r="1466" spans="5:14">
      <c r="E1466" s="2" t="s">
        <v>56</v>
      </c>
      <c r="G1466"/>
      <c r="H1466" s="8" t="s">
        <v>168</v>
      </c>
      <c r="L1466"/>
      <c r="N1466"/>
    </row>
    <row r="1467" spans="5:14">
      <c r="E1467" s="2" t="s">
        <v>57</v>
      </c>
      <c r="G1467"/>
      <c r="H1467" s="8" t="s">
        <v>169</v>
      </c>
      <c r="L1467"/>
      <c r="N1467" t="s">
        <v>336</v>
      </c>
    </row>
    <row r="1468" spans="5:14">
      <c r="E1468" s="2" t="s">
        <v>59</v>
      </c>
      <c r="G1468"/>
      <c r="H1468" s="8" t="s">
        <v>171</v>
      </c>
      <c r="L1468"/>
      <c r="N1468"/>
    </row>
    <row r="1469" spans="5:14">
      <c r="E1469" s="2" t="s">
        <v>60</v>
      </c>
      <c r="G1469"/>
      <c r="H1469" s="8" t="s">
        <v>172</v>
      </c>
      <c r="L1469"/>
      <c r="N1469"/>
    </row>
    <row r="1470" spans="5:14">
      <c r="E1470" s="2" t="s">
        <v>61</v>
      </c>
      <c r="G1470"/>
      <c r="H1470" s="8" t="s">
        <v>173</v>
      </c>
      <c r="L1470"/>
      <c r="N1470"/>
    </row>
    <row r="1471" spans="5:14">
      <c r="E1471" s="2" t="s">
        <v>62</v>
      </c>
      <c r="G1471"/>
      <c r="H1471" s="8" t="s">
        <v>174</v>
      </c>
      <c r="L1471"/>
      <c r="N1471"/>
    </row>
    <row r="1472" spans="5:14">
      <c r="E1472" s="2" t="s">
        <v>63</v>
      </c>
      <c r="G1472"/>
      <c r="H1472" s="8" t="s">
        <v>175</v>
      </c>
      <c r="L1472"/>
      <c r="N1472"/>
    </row>
    <row r="1473" spans="5:14">
      <c r="E1473" s="2" t="s">
        <v>65</v>
      </c>
      <c r="G1473"/>
      <c r="H1473" s="8" t="s">
        <v>176</v>
      </c>
      <c r="I1473"/>
      <c r="J1473"/>
      <c r="L1473"/>
      <c r="N1473"/>
    </row>
    <row r="1474" spans="5:14">
      <c r="E1474" s="2" t="s">
        <v>66</v>
      </c>
      <c r="G1474"/>
      <c r="H1474" s="8" t="s">
        <v>177</v>
      </c>
      <c r="I1474"/>
      <c r="J1474"/>
      <c r="L1474"/>
    </row>
    <row r="1475" spans="5:14">
      <c r="E1475" s="2" t="s">
        <v>67</v>
      </c>
      <c r="G1475"/>
      <c r="H1475" s="8" t="s">
        <v>178</v>
      </c>
      <c r="I1475"/>
      <c r="J1475"/>
      <c r="L1475"/>
    </row>
    <row r="1476" spans="5:14">
      <c r="E1476" s="2" t="s">
        <v>68</v>
      </c>
      <c r="G1476"/>
      <c r="H1476" s="8" t="s">
        <v>179</v>
      </c>
      <c r="I1476"/>
      <c r="J1476"/>
      <c r="L1476"/>
    </row>
    <row r="1477" spans="5:14">
      <c r="E1477" s="2" t="s">
        <v>69</v>
      </c>
      <c r="G1477"/>
      <c r="H1477" s="8" t="s">
        <v>180</v>
      </c>
      <c r="I1477"/>
      <c r="J1477"/>
      <c r="L1477"/>
      <c r="N1477" s="2" t="s">
        <v>337</v>
      </c>
    </row>
    <row r="1478" spans="5:14">
      <c r="E1478" s="2" t="s">
        <v>71</v>
      </c>
      <c r="G1478"/>
      <c r="H1478" s="8" t="s">
        <v>181</v>
      </c>
      <c r="I1478"/>
      <c r="J1478"/>
      <c r="L1478"/>
    </row>
    <row r="1479" spans="5:14">
      <c r="E1479" s="2" t="s">
        <v>72</v>
      </c>
      <c r="G1479"/>
      <c r="H1479" s="8" t="s">
        <v>182</v>
      </c>
      <c r="I1479"/>
      <c r="J1479"/>
      <c r="L1479"/>
    </row>
    <row r="1480" spans="5:14">
      <c r="E1480" s="2" t="s">
        <v>73</v>
      </c>
      <c r="G1480"/>
      <c r="H1480" s="8" t="s">
        <v>183</v>
      </c>
      <c r="I1480"/>
      <c r="J1480"/>
      <c r="L1480"/>
    </row>
    <row r="1481" spans="5:14">
      <c r="E1481" s="2" t="s">
        <v>74</v>
      </c>
      <c r="G1481"/>
      <c r="H1481" s="8" t="s">
        <v>184</v>
      </c>
      <c r="I1481"/>
      <c r="J1481"/>
      <c r="L1481"/>
    </row>
    <row r="1482" spans="5:14">
      <c r="E1482" s="2" t="s">
        <v>75</v>
      </c>
      <c r="G1482"/>
      <c r="H1482" s="8" t="s">
        <v>185</v>
      </c>
      <c r="I1482"/>
      <c r="J1482"/>
      <c r="L1482"/>
    </row>
    <row r="1483" spans="5:14">
      <c r="E1483" s="2" t="s">
        <v>77</v>
      </c>
      <c r="G1483"/>
      <c r="H1483" s="8" t="s">
        <v>186</v>
      </c>
      <c r="I1483"/>
      <c r="J1483"/>
      <c r="L1483"/>
    </row>
    <row r="1484" spans="5:14">
      <c r="E1484" s="2" t="s">
        <v>78</v>
      </c>
      <c r="G1484"/>
      <c r="H1484" s="8" t="s">
        <v>187</v>
      </c>
      <c r="I1484"/>
      <c r="J1484"/>
      <c r="L1484"/>
    </row>
    <row r="1485" spans="5:14">
      <c r="E1485" s="2" t="s">
        <v>79</v>
      </c>
      <c r="G1485"/>
      <c r="H1485" s="8" t="s">
        <v>188</v>
      </c>
      <c r="I1485"/>
      <c r="J1485"/>
      <c r="L1485"/>
    </row>
    <row r="1486" spans="5:14">
      <c r="E1486" s="2" t="s">
        <v>80</v>
      </c>
      <c r="G1486"/>
      <c r="H1486" s="8" t="s">
        <v>189</v>
      </c>
      <c r="I1486"/>
      <c r="J1486"/>
      <c r="L1486"/>
    </row>
    <row r="1487" spans="5:14">
      <c r="E1487" s="2" t="s">
        <v>81</v>
      </c>
      <c r="G1487"/>
      <c r="H1487" s="8" t="s">
        <v>190</v>
      </c>
      <c r="I1487"/>
      <c r="J1487"/>
      <c r="L1487"/>
      <c r="N1487" s="2" t="s">
        <v>338</v>
      </c>
    </row>
    <row r="1488" spans="5:14">
      <c r="E1488" s="2" t="s">
        <v>84</v>
      </c>
      <c r="G1488"/>
      <c r="H1488" s="8" t="s">
        <v>192</v>
      </c>
      <c r="I1488"/>
      <c r="J1488"/>
      <c r="L1488"/>
    </row>
    <row r="1489" spans="1:14">
      <c r="E1489" s="2" t="s">
        <v>85</v>
      </c>
      <c r="G1489"/>
      <c r="H1489" s="8" t="s">
        <v>193</v>
      </c>
      <c r="I1489"/>
      <c r="J1489"/>
      <c r="L1489"/>
    </row>
    <row r="1490" spans="1:14">
      <c r="E1490" s="2" t="s">
        <v>86</v>
      </c>
      <c r="G1490"/>
      <c r="H1490" s="8" t="s">
        <v>194</v>
      </c>
      <c r="I1490"/>
      <c r="J1490"/>
      <c r="L1490"/>
    </row>
    <row r="1491" spans="1:14">
      <c r="E1491" s="2" t="s">
        <v>87</v>
      </c>
      <c r="G1491"/>
      <c r="H1491" s="8" t="s">
        <v>195</v>
      </c>
      <c r="I1491"/>
      <c r="J1491"/>
      <c r="L1491"/>
    </row>
    <row r="1492" spans="1:14">
      <c r="E1492" s="2" t="s">
        <v>88</v>
      </c>
      <c r="G1492"/>
      <c r="H1492" s="8" t="s">
        <v>196</v>
      </c>
      <c r="I1492"/>
      <c r="J1492"/>
      <c r="L1492"/>
    </row>
    <row r="1493" spans="1:14">
      <c r="E1493" s="2" t="s">
        <v>90</v>
      </c>
      <c r="G1493"/>
      <c r="H1493" s="8" t="s">
        <v>197</v>
      </c>
      <c r="I1493"/>
      <c r="J1493"/>
      <c r="L1493"/>
    </row>
    <row r="1494" spans="1:14">
      <c r="E1494" s="2" t="s">
        <v>91</v>
      </c>
      <c r="G1494"/>
      <c r="H1494" s="8" t="s">
        <v>198</v>
      </c>
      <c r="I1494"/>
      <c r="J1494"/>
      <c r="L1494"/>
    </row>
    <row r="1495" spans="1:14">
      <c r="E1495" s="2" t="s">
        <v>92</v>
      </c>
      <c r="G1495"/>
      <c r="H1495" s="8" t="s">
        <v>199</v>
      </c>
      <c r="I1495"/>
      <c r="J1495"/>
      <c r="L1495"/>
    </row>
    <row r="1496" spans="1:14">
      <c r="E1496" s="2" t="s">
        <v>93</v>
      </c>
      <c r="G1496"/>
      <c r="H1496" s="8" t="s">
        <v>200</v>
      </c>
      <c r="I1496"/>
      <c r="J1496"/>
      <c r="L1496"/>
    </row>
    <row r="1497" spans="1:14">
      <c r="E1497" s="2" t="s">
        <v>94</v>
      </c>
      <c r="G1497"/>
      <c r="I1497"/>
      <c r="J1497"/>
      <c r="L1497"/>
    </row>
    <row r="1498" spans="1:14">
      <c r="G1498"/>
      <c r="I1498"/>
      <c r="J1498"/>
      <c r="L1498"/>
    </row>
    <row r="1499" spans="1:14">
      <c r="A1499" t="s">
        <v>339</v>
      </c>
      <c r="B1499" s="2" t="s">
        <v>340</v>
      </c>
      <c r="E1499" s="2" t="s">
        <v>34</v>
      </c>
      <c r="G1499"/>
      <c r="H1499" s="8" t="s">
        <v>149</v>
      </c>
      <c r="L1499"/>
      <c r="N1499"/>
    </row>
    <row r="1500" spans="1:14">
      <c r="E1500" s="2" t="s">
        <v>36</v>
      </c>
      <c r="G1500"/>
      <c r="H1500" s="8" t="s">
        <v>150</v>
      </c>
      <c r="L1500"/>
      <c r="N1500"/>
    </row>
    <row r="1501" spans="1:14">
      <c r="E1501" s="2" t="s">
        <v>37</v>
      </c>
      <c r="G1501"/>
      <c r="H1501" s="8" t="s">
        <v>151</v>
      </c>
      <c r="L1501"/>
      <c r="N1501"/>
    </row>
    <row r="1502" spans="1:14">
      <c r="E1502" s="2" t="s">
        <v>38</v>
      </c>
      <c r="G1502"/>
      <c r="H1502" s="8" t="s">
        <v>152</v>
      </c>
      <c r="L1502"/>
      <c r="N1502"/>
    </row>
    <row r="1503" spans="1:14">
      <c r="E1503" s="2" t="s">
        <v>39</v>
      </c>
      <c r="G1503"/>
      <c r="H1503" s="8" t="s">
        <v>153</v>
      </c>
      <c r="L1503"/>
      <c r="N1503"/>
    </row>
    <row r="1504" spans="1:14">
      <c r="E1504" s="2" t="s">
        <v>41</v>
      </c>
      <c r="G1504"/>
      <c r="H1504" s="8" t="s">
        <v>154</v>
      </c>
      <c r="L1504"/>
      <c r="N1504"/>
    </row>
    <row r="1505" spans="5:14">
      <c r="E1505" s="2" t="s">
        <v>42</v>
      </c>
      <c r="G1505"/>
      <c r="H1505" s="8" t="s">
        <v>155</v>
      </c>
      <c r="L1505"/>
      <c r="N1505"/>
    </row>
    <row r="1506" spans="5:14">
      <c r="E1506" s="2" t="s">
        <v>43</v>
      </c>
      <c r="G1506"/>
      <c r="H1506" s="8" t="s">
        <v>156</v>
      </c>
      <c r="I1506"/>
      <c r="J1506"/>
      <c r="L1506"/>
      <c r="N1506"/>
    </row>
    <row r="1507" spans="5:14">
      <c r="E1507" s="2" t="s">
        <v>44</v>
      </c>
      <c r="G1507"/>
      <c r="H1507" s="8" t="s">
        <v>157</v>
      </c>
      <c r="L1507"/>
      <c r="N1507"/>
    </row>
    <row r="1508" spans="5:14">
      <c r="E1508" s="2" t="s">
        <v>45</v>
      </c>
      <c r="G1508"/>
      <c r="H1508" s="8" t="s">
        <v>158</v>
      </c>
      <c r="I1508"/>
      <c r="J1508"/>
      <c r="L1508"/>
      <c r="N1508" t="s">
        <v>337</v>
      </c>
    </row>
    <row r="1509" spans="5:14">
      <c r="E1509" s="2" t="s">
        <v>47</v>
      </c>
      <c r="G1509"/>
      <c r="H1509" s="8" t="s">
        <v>160</v>
      </c>
      <c r="L1509"/>
      <c r="N1509"/>
    </row>
    <row r="1510" spans="5:14">
      <c r="E1510" s="2" t="s">
        <v>48</v>
      </c>
      <c r="G1510"/>
      <c r="H1510" s="8" t="s">
        <v>161</v>
      </c>
      <c r="L1510"/>
      <c r="N1510"/>
    </row>
    <row r="1511" spans="5:14">
      <c r="E1511" s="2" t="s">
        <v>49</v>
      </c>
      <c r="G1511"/>
      <c r="H1511" s="8" t="s">
        <v>162</v>
      </c>
      <c r="L1511"/>
      <c r="N1511"/>
    </row>
    <row r="1512" spans="5:14">
      <c r="E1512" s="2" t="s">
        <v>50</v>
      </c>
      <c r="G1512"/>
      <c r="H1512" s="8" t="s">
        <v>163</v>
      </c>
      <c r="L1512"/>
      <c r="N1512"/>
    </row>
    <row r="1513" spans="5:14">
      <c r="E1513" s="2" t="s">
        <v>51</v>
      </c>
      <c r="G1513"/>
      <c r="H1513" s="8" t="s">
        <v>164</v>
      </c>
      <c r="I1513"/>
      <c r="J1513"/>
      <c r="L1513"/>
      <c r="N1513"/>
    </row>
    <row r="1514" spans="5:14">
      <c r="E1514" s="2" t="s">
        <v>53</v>
      </c>
      <c r="G1514"/>
      <c r="H1514" s="8" t="s">
        <v>165</v>
      </c>
      <c r="L1514"/>
      <c r="N1514"/>
    </row>
    <row r="1515" spans="5:14">
      <c r="E1515" s="2" t="s">
        <v>54</v>
      </c>
      <c r="G1515"/>
      <c r="H1515" s="8" t="s">
        <v>166</v>
      </c>
      <c r="L1515"/>
      <c r="N1515"/>
    </row>
    <row r="1516" spans="5:14">
      <c r="E1516" s="2" t="s">
        <v>55</v>
      </c>
      <c r="G1516"/>
      <c r="H1516" s="8" t="s">
        <v>167</v>
      </c>
      <c r="L1516"/>
      <c r="N1516"/>
    </row>
    <row r="1517" spans="5:14">
      <c r="E1517" s="2" t="s">
        <v>56</v>
      </c>
      <c r="G1517"/>
      <c r="H1517" s="8" t="s">
        <v>168</v>
      </c>
      <c r="L1517"/>
      <c r="N1517"/>
    </row>
    <row r="1518" spans="5:14">
      <c r="E1518" s="2" t="s">
        <v>57</v>
      </c>
      <c r="G1518"/>
      <c r="H1518" s="8" t="s">
        <v>169</v>
      </c>
      <c r="L1518"/>
      <c r="N1518" t="s">
        <v>341</v>
      </c>
    </row>
    <row r="1519" spans="5:14">
      <c r="E1519" s="2" t="s">
        <v>59</v>
      </c>
      <c r="G1519"/>
      <c r="H1519" s="8" t="s">
        <v>171</v>
      </c>
      <c r="L1519"/>
      <c r="N1519"/>
    </row>
    <row r="1520" spans="5:14">
      <c r="E1520" s="2" t="s">
        <v>60</v>
      </c>
      <c r="G1520"/>
      <c r="H1520" s="8" t="s">
        <v>172</v>
      </c>
      <c r="L1520"/>
      <c r="N1520"/>
    </row>
    <row r="1521" spans="5:14">
      <c r="E1521" s="2" t="s">
        <v>61</v>
      </c>
      <c r="G1521"/>
      <c r="H1521" s="8" t="s">
        <v>173</v>
      </c>
      <c r="L1521"/>
      <c r="N1521"/>
    </row>
    <row r="1522" spans="5:14">
      <c r="E1522" s="2" t="s">
        <v>62</v>
      </c>
      <c r="G1522"/>
      <c r="H1522" s="8" t="s">
        <v>174</v>
      </c>
      <c r="L1522"/>
      <c r="N1522"/>
    </row>
    <row r="1523" spans="5:14">
      <c r="E1523" s="2" t="s">
        <v>63</v>
      </c>
      <c r="G1523"/>
      <c r="H1523" s="8" t="s">
        <v>175</v>
      </c>
      <c r="L1523"/>
      <c r="N1523"/>
    </row>
    <row r="1524" spans="5:14">
      <c r="E1524" s="2" t="s">
        <v>65</v>
      </c>
      <c r="G1524"/>
      <c r="H1524" s="8" t="s">
        <v>176</v>
      </c>
      <c r="I1524"/>
      <c r="J1524"/>
      <c r="L1524"/>
      <c r="N1524"/>
    </row>
    <row r="1525" spans="5:14">
      <c r="E1525" s="2" t="s">
        <v>66</v>
      </c>
      <c r="G1525"/>
      <c r="H1525" s="8" t="s">
        <v>177</v>
      </c>
      <c r="I1525"/>
      <c r="J1525"/>
      <c r="L1525"/>
      <c r="N1525"/>
    </row>
    <row r="1526" spans="5:14">
      <c r="E1526" s="2" t="s">
        <v>67</v>
      </c>
      <c r="G1526"/>
      <c r="H1526" s="8" t="s">
        <v>178</v>
      </c>
      <c r="I1526"/>
      <c r="J1526"/>
      <c r="L1526"/>
    </row>
    <row r="1527" spans="5:14">
      <c r="E1527" s="2" t="s">
        <v>68</v>
      </c>
      <c r="G1527"/>
      <c r="H1527" s="8" t="s">
        <v>179</v>
      </c>
      <c r="I1527"/>
      <c r="J1527"/>
      <c r="L1527"/>
    </row>
    <row r="1528" spans="5:14">
      <c r="E1528" s="2" t="s">
        <v>69</v>
      </c>
      <c r="G1528"/>
      <c r="H1528" s="8" t="s">
        <v>180</v>
      </c>
      <c r="I1528"/>
      <c r="J1528"/>
      <c r="L1528"/>
      <c r="N1528" s="2" t="s">
        <v>342</v>
      </c>
    </row>
    <row r="1529" spans="5:14">
      <c r="E1529" s="2" t="s">
        <v>71</v>
      </c>
      <c r="G1529"/>
      <c r="H1529" s="8" t="s">
        <v>181</v>
      </c>
      <c r="I1529"/>
      <c r="J1529"/>
      <c r="L1529"/>
    </row>
    <row r="1530" spans="5:14">
      <c r="E1530" s="2" t="s">
        <v>72</v>
      </c>
      <c r="G1530"/>
      <c r="H1530" s="8" t="s">
        <v>182</v>
      </c>
      <c r="I1530"/>
      <c r="J1530"/>
      <c r="L1530"/>
    </row>
    <row r="1531" spans="5:14">
      <c r="E1531" s="2" t="s">
        <v>73</v>
      </c>
      <c r="G1531"/>
      <c r="H1531" s="8" t="s">
        <v>183</v>
      </c>
      <c r="I1531"/>
      <c r="J1531"/>
      <c r="L1531"/>
    </row>
    <row r="1532" spans="5:14">
      <c r="E1532" s="2" t="s">
        <v>74</v>
      </c>
      <c r="G1532"/>
      <c r="H1532" s="8" t="s">
        <v>184</v>
      </c>
      <c r="I1532"/>
      <c r="J1532"/>
      <c r="L1532"/>
    </row>
    <row r="1533" spans="5:14">
      <c r="E1533" s="2" t="s">
        <v>75</v>
      </c>
      <c r="G1533"/>
      <c r="H1533" s="8" t="s">
        <v>185</v>
      </c>
      <c r="I1533"/>
      <c r="J1533"/>
      <c r="L1533"/>
    </row>
    <row r="1534" spans="5:14">
      <c r="E1534" s="2" t="s">
        <v>77</v>
      </c>
      <c r="G1534"/>
      <c r="H1534" s="8" t="s">
        <v>186</v>
      </c>
      <c r="I1534"/>
      <c r="J1534"/>
    </row>
    <row r="1535" spans="5:14">
      <c r="E1535" s="2" t="s">
        <v>78</v>
      </c>
      <c r="G1535"/>
      <c r="H1535" s="8" t="s">
        <v>187</v>
      </c>
      <c r="I1535"/>
      <c r="J1535"/>
    </row>
    <row r="1536" spans="5:14">
      <c r="E1536" s="2" t="s">
        <v>79</v>
      </c>
      <c r="G1536"/>
      <c r="H1536" s="8" t="s">
        <v>188</v>
      </c>
      <c r="I1536"/>
      <c r="J1536"/>
    </row>
    <row r="1537" spans="1:14">
      <c r="E1537" s="2" t="s">
        <v>80</v>
      </c>
      <c r="G1537"/>
      <c r="H1537" s="8" t="s">
        <v>189</v>
      </c>
      <c r="I1537"/>
      <c r="J1537"/>
    </row>
    <row r="1538" spans="1:14">
      <c r="E1538" s="2" t="s">
        <v>81</v>
      </c>
      <c r="G1538"/>
      <c r="H1538" s="8" t="s">
        <v>190</v>
      </c>
      <c r="I1538"/>
      <c r="J1538"/>
      <c r="L1538"/>
      <c r="N1538" s="2" t="s">
        <v>343</v>
      </c>
    </row>
    <row r="1539" spans="1:14">
      <c r="E1539" s="2" t="s">
        <v>84</v>
      </c>
      <c r="G1539"/>
      <c r="H1539" s="8" t="s">
        <v>192</v>
      </c>
      <c r="I1539"/>
      <c r="J1539"/>
      <c r="L1539"/>
    </row>
    <row r="1540" spans="1:14">
      <c r="E1540" s="2" t="s">
        <v>85</v>
      </c>
      <c r="G1540"/>
      <c r="H1540" s="8" t="s">
        <v>193</v>
      </c>
      <c r="I1540"/>
      <c r="J1540"/>
      <c r="L1540"/>
    </row>
    <row r="1541" spans="1:14">
      <c r="E1541" s="2" t="s">
        <v>86</v>
      </c>
      <c r="G1541"/>
      <c r="H1541" s="8" t="s">
        <v>194</v>
      </c>
      <c r="I1541"/>
      <c r="J1541"/>
      <c r="L1541"/>
    </row>
    <row r="1542" spans="1:14">
      <c r="E1542" s="2" t="s">
        <v>87</v>
      </c>
      <c r="G1542"/>
      <c r="H1542" s="8" t="s">
        <v>195</v>
      </c>
      <c r="I1542"/>
      <c r="J1542"/>
      <c r="L1542"/>
    </row>
    <row r="1543" spans="1:14">
      <c r="E1543" s="2" t="s">
        <v>88</v>
      </c>
      <c r="G1543"/>
      <c r="H1543" s="8" t="s">
        <v>196</v>
      </c>
      <c r="I1543"/>
      <c r="J1543"/>
      <c r="L1543"/>
    </row>
    <row r="1544" spans="1:14">
      <c r="E1544" s="2" t="s">
        <v>90</v>
      </c>
      <c r="G1544"/>
      <c r="H1544" s="8" t="s">
        <v>197</v>
      </c>
      <c r="I1544"/>
      <c r="J1544"/>
      <c r="L1544"/>
    </row>
    <row r="1545" spans="1:14">
      <c r="E1545" s="2" t="s">
        <v>91</v>
      </c>
      <c r="G1545"/>
      <c r="H1545" s="8" t="s">
        <v>198</v>
      </c>
      <c r="I1545"/>
      <c r="J1545"/>
      <c r="L1545"/>
    </row>
    <row r="1546" spans="1:14">
      <c r="E1546" s="2" t="s">
        <v>92</v>
      </c>
      <c r="G1546"/>
      <c r="H1546" s="8" t="s">
        <v>199</v>
      </c>
      <c r="I1546"/>
      <c r="J1546"/>
      <c r="L1546"/>
    </row>
    <row r="1547" spans="1:14">
      <c r="E1547" s="2" t="s">
        <v>93</v>
      </c>
      <c r="G1547"/>
      <c r="H1547" s="8" t="s">
        <v>200</v>
      </c>
      <c r="I1547"/>
      <c r="J1547"/>
      <c r="L1547"/>
    </row>
    <row r="1548" spans="1:14">
      <c r="E1548" s="2" t="s">
        <v>94</v>
      </c>
      <c r="G1548"/>
      <c r="I1548"/>
      <c r="J1548"/>
      <c r="L1548"/>
    </row>
    <row r="1549" spans="1:14">
      <c r="G1549"/>
      <c r="I1549"/>
      <c r="J1549"/>
      <c r="L1549"/>
    </row>
    <row r="1550" spans="1:14">
      <c r="A1550" t="s">
        <v>344</v>
      </c>
      <c r="B1550" s="2" t="s">
        <v>345</v>
      </c>
      <c r="E1550" s="2" t="s">
        <v>34</v>
      </c>
      <c r="G1550"/>
      <c r="H1550" s="8" t="s">
        <v>149</v>
      </c>
      <c r="L1550"/>
      <c r="N1550"/>
    </row>
    <row r="1551" spans="1:14">
      <c r="E1551" s="2" t="s">
        <v>36</v>
      </c>
      <c r="G1551"/>
      <c r="H1551" s="8" t="s">
        <v>150</v>
      </c>
      <c r="L1551"/>
      <c r="N1551"/>
    </row>
    <row r="1552" spans="1:14">
      <c r="E1552" s="2" t="s">
        <v>37</v>
      </c>
      <c r="G1552"/>
      <c r="H1552" s="8" t="s">
        <v>151</v>
      </c>
      <c r="L1552"/>
      <c r="N1552"/>
    </row>
    <row r="1553" spans="5:14">
      <c r="E1553" s="2" t="s">
        <v>38</v>
      </c>
      <c r="G1553"/>
      <c r="H1553" s="8" t="s">
        <v>152</v>
      </c>
      <c r="L1553"/>
      <c r="N1553"/>
    </row>
    <row r="1554" spans="5:14">
      <c r="E1554" s="2" t="s">
        <v>39</v>
      </c>
      <c r="G1554"/>
      <c r="H1554" s="8" t="s">
        <v>153</v>
      </c>
      <c r="L1554"/>
      <c r="N1554"/>
    </row>
    <row r="1555" spans="5:14">
      <c r="E1555" s="2" t="s">
        <v>41</v>
      </c>
      <c r="G1555"/>
      <c r="H1555" s="8" t="s">
        <v>154</v>
      </c>
      <c r="L1555"/>
      <c r="N1555"/>
    </row>
    <row r="1556" spans="5:14">
      <c r="E1556" s="2" t="s">
        <v>42</v>
      </c>
      <c r="G1556"/>
      <c r="H1556" s="8" t="s">
        <v>155</v>
      </c>
      <c r="L1556"/>
      <c r="N1556"/>
    </row>
    <row r="1557" spans="5:14">
      <c r="E1557" s="2" t="s">
        <v>43</v>
      </c>
      <c r="G1557"/>
      <c r="H1557" s="8" t="s">
        <v>156</v>
      </c>
      <c r="I1557"/>
      <c r="J1557"/>
      <c r="L1557"/>
      <c r="N1557"/>
    </row>
    <row r="1558" spans="5:14">
      <c r="E1558" s="2" t="s">
        <v>44</v>
      </c>
      <c r="G1558"/>
      <c r="H1558" s="8" t="s">
        <v>157</v>
      </c>
      <c r="L1558"/>
      <c r="N1558"/>
    </row>
    <row r="1559" spans="5:14">
      <c r="E1559" s="2" t="s">
        <v>45</v>
      </c>
      <c r="G1559"/>
      <c r="H1559" s="8" t="s">
        <v>158</v>
      </c>
      <c r="I1559"/>
      <c r="J1559"/>
      <c r="L1559"/>
      <c r="N1559" t="s">
        <v>346</v>
      </c>
    </row>
    <row r="1560" spans="5:14">
      <c r="E1560" s="2" t="s">
        <v>47</v>
      </c>
      <c r="G1560"/>
      <c r="H1560" s="8" t="s">
        <v>160</v>
      </c>
      <c r="L1560"/>
      <c r="N1560"/>
    </row>
    <row r="1561" spans="5:14">
      <c r="E1561" s="2" t="s">
        <v>48</v>
      </c>
      <c r="G1561"/>
      <c r="H1561" s="8" t="s">
        <v>161</v>
      </c>
      <c r="L1561"/>
      <c r="N1561"/>
    </row>
    <row r="1562" spans="5:14">
      <c r="E1562" s="2" t="s">
        <v>49</v>
      </c>
      <c r="G1562"/>
      <c r="H1562" s="8" t="s">
        <v>162</v>
      </c>
      <c r="L1562"/>
      <c r="N1562"/>
    </row>
    <row r="1563" spans="5:14">
      <c r="E1563" s="2" t="s">
        <v>50</v>
      </c>
      <c r="G1563"/>
      <c r="H1563" s="8" t="s">
        <v>163</v>
      </c>
      <c r="L1563"/>
      <c r="N1563"/>
    </row>
    <row r="1564" spans="5:14">
      <c r="E1564" s="2" t="s">
        <v>51</v>
      </c>
      <c r="G1564"/>
      <c r="H1564" s="8" t="s">
        <v>164</v>
      </c>
      <c r="I1564"/>
      <c r="J1564"/>
      <c r="L1564"/>
      <c r="N1564"/>
    </row>
    <row r="1565" spans="5:14">
      <c r="E1565" s="2" t="s">
        <v>53</v>
      </c>
      <c r="G1565"/>
      <c r="H1565" s="8" t="s">
        <v>165</v>
      </c>
      <c r="L1565"/>
      <c r="N1565"/>
    </row>
    <row r="1566" spans="5:14">
      <c r="E1566" s="2" t="s">
        <v>54</v>
      </c>
      <c r="G1566"/>
      <c r="H1566" s="8" t="s">
        <v>166</v>
      </c>
      <c r="L1566"/>
      <c r="N1566"/>
    </row>
    <row r="1567" spans="5:14">
      <c r="E1567" s="2" t="s">
        <v>55</v>
      </c>
      <c r="G1567"/>
      <c r="H1567" s="8" t="s">
        <v>167</v>
      </c>
      <c r="L1567"/>
      <c r="N1567"/>
    </row>
    <row r="1568" spans="5:14">
      <c r="E1568" s="2" t="s">
        <v>56</v>
      </c>
      <c r="G1568"/>
      <c r="H1568" s="8" t="s">
        <v>168</v>
      </c>
      <c r="L1568"/>
      <c r="N1568"/>
    </row>
    <row r="1569" spans="5:14">
      <c r="E1569" s="2" t="s">
        <v>57</v>
      </c>
      <c r="G1569"/>
      <c r="H1569" s="8" t="s">
        <v>169</v>
      </c>
      <c r="L1569"/>
      <c r="N1569" t="s">
        <v>347</v>
      </c>
    </row>
    <row r="1570" spans="5:14">
      <c r="E1570" s="2" t="s">
        <v>59</v>
      </c>
      <c r="G1570"/>
      <c r="H1570" s="8" t="s">
        <v>171</v>
      </c>
      <c r="L1570"/>
    </row>
    <row r="1571" spans="5:14">
      <c r="E1571" s="2" t="s">
        <v>60</v>
      </c>
      <c r="G1571"/>
      <c r="H1571" s="8" t="s">
        <v>172</v>
      </c>
      <c r="L1571"/>
      <c r="N1571"/>
    </row>
    <row r="1572" spans="5:14">
      <c r="E1572" s="2" t="s">
        <v>61</v>
      </c>
      <c r="G1572"/>
      <c r="H1572" s="8" t="s">
        <v>173</v>
      </c>
      <c r="L1572"/>
      <c r="N1572"/>
    </row>
    <row r="1573" spans="5:14">
      <c r="E1573" s="2" t="s">
        <v>62</v>
      </c>
      <c r="G1573"/>
      <c r="H1573" s="8" t="s">
        <v>174</v>
      </c>
      <c r="L1573"/>
      <c r="N1573"/>
    </row>
    <row r="1574" spans="5:14">
      <c r="E1574" s="2" t="s">
        <v>63</v>
      </c>
      <c r="G1574"/>
      <c r="H1574" s="8" t="s">
        <v>175</v>
      </c>
      <c r="L1574"/>
      <c r="N1574"/>
    </row>
    <row r="1575" spans="5:14">
      <c r="E1575" s="2" t="s">
        <v>65</v>
      </c>
      <c r="G1575"/>
      <c r="H1575" s="8" t="s">
        <v>176</v>
      </c>
      <c r="I1575"/>
      <c r="J1575"/>
      <c r="L1575"/>
      <c r="N1575"/>
    </row>
    <row r="1576" spans="5:14">
      <c r="E1576" s="2" t="s">
        <v>66</v>
      </c>
      <c r="G1576"/>
      <c r="H1576" s="8" t="s">
        <v>177</v>
      </c>
      <c r="I1576"/>
      <c r="J1576"/>
      <c r="L1576"/>
    </row>
    <row r="1577" spans="5:14">
      <c r="E1577" s="2" t="s">
        <v>67</v>
      </c>
      <c r="G1577"/>
      <c r="H1577" s="8" t="s">
        <v>178</v>
      </c>
      <c r="I1577"/>
      <c r="J1577"/>
      <c r="L1577"/>
    </row>
    <row r="1578" spans="5:14">
      <c r="E1578" s="2" t="s">
        <v>68</v>
      </c>
      <c r="G1578"/>
      <c r="H1578" s="8" t="s">
        <v>179</v>
      </c>
      <c r="I1578"/>
      <c r="J1578"/>
      <c r="L1578"/>
    </row>
    <row r="1579" spans="5:14">
      <c r="E1579" s="2" t="s">
        <v>69</v>
      </c>
      <c r="G1579"/>
      <c r="H1579" s="8" t="s">
        <v>180</v>
      </c>
      <c r="I1579"/>
      <c r="J1579"/>
      <c r="L1579"/>
      <c r="N1579" s="2" t="s">
        <v>348</v>
      </c>
    </row>
    <row r="1580" spans="5:14">
      <c r="E1580" s="2" t="s">
        <v>71</v>
      </c>
      <c r="G1580"/>
      <c r="H1580" s="8" t="s">
        <v>181</v>
      </c>
      <c r="I1580"/>
      <c r="J1580"/>
      <c r="L1580"/>
    </row>
    <row r="1581" spans="5:14">
      <c r="E1581" s="2" t="s">
        <v>72</v>
      </c>
      <c r="G1581"/>
      <c r="H1581" s="8" t="s">
        <v>182</v>
      </c>
      <c r="I1581"/>
      <c r="J1581"/>
      <c r="L1581"/>
    </row>
    <row r="1582" spans="5:14">
      <c r="E1582" s="2" t="s">
        <v>73</v>
      </c>
      <c r="G1582"/>
      <c r="H1582" s="8" t="s">
        <v>183</v>
      </c>
      <c r="I1582"/>
      <c r="J1582"/>
      <c r="L1582"/>
    </row>
    <row r="1583" spans="5:14">
      <c r="E1583" s="2" t="s">
        <v>74</v>
      </c>
      <c r="G1583"/>
      <c r="H1583" s="8" t="s">
        <v>184</v>
      </c>
      <c r="I1583"/>
      <c r="J1583"/>
      <c r="L1583"/>
    </row>
    <row r="1584" spans="5:14">
      <c r="E1584" s="2" t="s">
        <v>75</v>
      </c>
      <c r="G1584"/>
      <c r="H1584" s="8" t="s">
        <v>185</v>
      </c>
      <c r="I1584"/>
      <c r="J1584"/>
      <c r="L1584"/>
    </row>
    <row r="1585" spans="5:14">
      <c r="E1585" s="2" t="s">
        <v>77</v>
      </c>
      <c r="G1585"/>
      <c r="H1585" s="8" t="s">
        <v>186</v>
      </c>
      <c r="I1585"/>
      <c r="J1585"/>
      <c r="L1585"/>
    </row>
    <row r="1586" spans="5:14">
      <c r="E1586" s="2" t="s">
        <v>78</v>
      </c>
      <c r="G1586"/>
      <c r="H1586" s="8" t="s">
        <v>187</v>
      </c>
      <c r="I1586"/>
      <c r="J1586"/>
      <c r="L1586"/>
    </row>
    <row r="1587" spans="5:14">
      <c r="E1587" s="2" t="s">
        <v>79</v>
      </c>
      <c r="G1587"/>
      <c r="H1587" s="8" t="s">
        <v>188</v>
      </c>
      <c r="I1587"/>
      <c r="J1587"/>
      <c r="L1587"/>
    </row>
    <row r="1588" spans="5:14">
      <c r="E1588" s="2" t="s">
        <v>80</v>
      </c>
      <c r="G1588"/>
      <c r="H1588" s="8" t="s">
        <v>189</v>
      </c>
      <c r="I1588"/>
      <c r="J1588"/>
      <c r="L1588"/>
    </row>
    <row r="1589" spans="5:14">
      <c r="E1589" s="2" t="s">
        <v>81</v>
      </c>
      <c r="G1589"/>
      <c r="H1589" s="8" t="s">
        <v>190</v>
      </c>
      <c r="I1589"/>
      <c r="J1589"/>
      <c r="L1589"/>
      <c r="N1589" s="2" t="s">
        <v>349</v>
      </c>
    </row>
    <row r="1590" spans="5:14">
      <c r="E1590" s="2" t="s">
        <v>84</v>
      </c>
      <c r="G1590"/>
      <c r="H1590" s="8" t="s">
        <v>192</v>
      </c>
      <c r="I1590"/>
      <c r="J1590"/>
      <c r="L1590"/>
    </row>
    <row r="1591" spans="5:14">
      <c r="E1591" s="2" t="s">
        <v>85</v>
      </c>
      <c r="G1591"/>
      <c r="H1591" s="8" t="s">
        <v>193</v>
      </c>
      <c r="I1591"/>
      <c r="J1591"/>
      <c r="L1591"/>
    </row>
    <row r="1592" spans="5:14">
      <c r="E1592" s="2" t="s">
        <v>86</v>
      </c>
      <c r="G1592"/>
      <c r="H1592" s="8" t="s">
        <v>194</v>
      </c>
      <c r="I1592"/>
      <c r="J1592"/>
      <c r="L1592"/>
    </row>
    <row r="1593" spans="5:14">
      <c r="E1593" s="2" t="s">
        <v>87</v>
      </c>
      <c r="G1593"/>
      <c r="H1593" s="8" t="s">
        <v>195</v>
      </c>
      <c r="I1593"/>
      <c r="J1593"/>
      <c r="L1593"/>
    </row>
    <row r="1594" spans="5:14">
      <c r="E1594" s="2" t="s">
        <v>88</v>
      </c>
      <c r="G1594"/>
      <c r="H1594" s="8" t="s">
        <v>196</v>
      </c>
      <c r="I1594"/>
      <c r="J1594"/>
      <c r="L1594"/>
    </row>
    <row r="1595" spans="5:14">
      <c r="E1595" s="2" t="s">
        <v>90</v>
      </c>
      <c r="G1595"/>
      <c r="H1595" s="8" t="s">
        <v>197</v>
      </c>
      <c r="I1595"/>
      <c r="J1595"/>
      <c r="L1595"/>
    </row>
    <row r="1596" spans="5:14">
      <c r="E1596" s="2" t="s">
        <v>91</v>
      </c>
      <c r="G1596"/>
      <c r="H1596" s="8" t="s">
        <v>198</v>
      </c>
      <c r="I1596"/>
      <c r="J1596"/>
      <c r="L1596"/>
    </row>
    <row r="1597" spans="5:14">
      <c r="E1597" s="2" t="s">
        <v>92</v>
      </c>
      <c r="G1597"/>
      <c r="H1597" s="8" t="s">
        <v>199</v>
      </c>
      <c r="I1597"/>
      <c r="J1597"/>
      <c r="L1597"/>
    </row>
    <row r="1598" spans="5:14">
      <c r="E1598" s="2" t="s">
        <v>93</v>
      </c>
      <c r="G1598"/>
      <c r="H1598" s="8" t="s">
        <v>200</v>
      </c>
      <c r="I1598"/>
      <c r="J1598"/>
      <c r="L1598"/>
    </row>
    <row r="1599" spans="5:14">
      <c r="E1599" s="2" t="s">
        <v>94</v>
      </c>
      <c r="G1599"/>
      <c r="I1599"/>
      <c r="J1599"/>
      <c r="L1599"/>
    </row>
    <row r="1600" spans="5:14">
      <c r="G1600"/>
      <c r="I1600"/>
      <c r="J1600"/>
      <c r="L1600"/>
    </row>
    <row r="1601" spans="1:12">
      <c r="A1601" t="s">
        <v>350</v>
      </c>
      <c r="B1601" s="2" t="s">
        <v>351</v>
      </c>
      <c r="E1601" s="2" t="s">
        <v>34</v>
      </c>
      <c r="G1601"/>
      <c r="H1601" s="2" t="s">
        <v>222</v>
      </c>
      <c r="L1601"/>
    </row>
    <row r="1602" spans="1:12">
      <c r="E1602" s="2" t="s">
        <v>36</v>
      </c>
      <c r="G1602"/>
      <c r="H1602" s="2" t="s">
        <v>223</v>
      </c>
      <c r="L1602"/>
    </row>
    <row r="1603" spans="1:12">
      <c r="E1603" s="2" t="s">
        <v>37</v>
      </c>
      <c r="G1603"/>
      <c r="H1603" s="2" t="s">
        <v>224</v>
      </c>
      <c r="L1603"/>
    </row>
    <row r="1604" spans="1:12">
      <c r="E1604" s="2" t="s">
        <v>38</v>
      </c>
      <c r="G1604"/>
      <c r="H1604" s="2" t="s">
        <v>225</v>
      </c>
      <c r="L1604"/>
    </row>
    <row r="1605" spans="1:12">
      <c r="E1605" s="2" t="s">
        <v>39</v>
      </c>
      <c r="G1605"/>
      <c r="H1605" s="2" t="s">
        <v>226</v>
      </c>
      <c r="L1605"/>
    </row>
    <row r="1606" spans="1:12">
      <c r="E1606" s="2" t="s">
        <v>41</v>
      </c>
      <c r="G1606"/>
      <c r="H1606" s="2" t="s">
        <v>227</v>
      </c>
      <c r="L1606"/>
    </row>
    <row r="1607" spans="1:12">
      <c r="E1607" s="2" t="s">
        <v>42</v>
      </c>
      <c r="G1607"/>
      <c r="H1607" s="2" t="s">
        <v>228</v>
      </c>
      <c r="L1607"/>
    </row>
    <row r="1608" spans="1:12">
      <c r="E1608" s="2" t="s">
        <v>43</v>
      </c>
      <c r="G1608"/>
      <c r="H1608" s="2" t="s">
        <v>229</v>
      </c>
      <c r="I1608"/>
      <c r="J1608"/>
      <c r="L1608"/>
    </row>
    <row r="1609" spans="1:12">
      <c r="E1609" s="2" t="s">
        <v>44</v>
      </c>
      <c r="G1609"/>
      <c r="H1609" s="2" t="s">
        <v>230</v>
      </c>
      <c r="L1609"/>
    </row>
    <row r="1610" spans="1:12">
      <c r="E1610" s="2" t="s">
        <v>45</v>
      </c>
      <c r="G1610"/>
      <c r="I1610"/>
      <c r="J1610"/>
      <c r="L1610"/>
    </row>
    <row r="1611" spans="1:12">
      <c r="E1611" s="2" t="s">
        <v>47</v>
      </c>
      <c r="L1611"/>
    </row>
    <row r="1612" spans="1:12">
      <c r="E1612" s="2" t="s">
        <v>48</v>
      </c>
      <c r="L1612"/>
    </row>
    <row r="1613" spans="1:12">
      <c r="L1613"/>
    </row>
    <row r="1614" spans="1:12">
      <c r="L1614"/>
    </row>
    <row r="1615" spans="1:12">
      <c r="L1615"/>
    </row>
    <row r="1616" spans="1:12">
      <c r="L1616"/>
    </row>
    <row r="1617" spans="12:12">
      <c r="L1617"/>
    </row>
    <row r="1618" spans="12:12">
      <c r="L1618"/>
    </row>
    <row r="1619" spans="12:12">
      <c r="L1619"/>
    </row>
    <row r="1620" spans="12:12">
      <c r="L1620"/>
    </row>
    <row r="1621" spans="12:12">
      <c r="L1621"/>
    </row>
    <row r="1622" spans="12:12">
      <c r="L1622"/>
    </row>
    <row r="1623" spans="12:12">
      <c r="L1623"/>
    </row>
    <row r="1624" spans="12:12">
      <c r="L1624"/>
    </row>
    <row r="1625" spans="12:12">
      <c r="L1625"/>
    </row>
    <row r="1626" spans="12:12">
      <c r="L1626"/>
    </row>
    <row r="1627" spans="12:12">
      <c r="L1627"/>
    </row>
    <row r="1628" spans="12:12">
      <c r="L1628"/>
    </row>
    <row r="1629" spans="12:12">
      <c r="L1629"/>
    </row>
    <row r="1630" spans="12:12">
      <c r="L1630"/>
    </row>
    <row r="1631" spans="12:12">
      <c r="L1631"/>
    </row>
    <row r="1632" spans="12:12">
      <c r="L1632"/>
    </row>
    <row r="1633" spans="12:12">
      <c r="L1633"/>
    </row>
    <row r="1634" spans="12:12">
      <c r="L1634"/>
    </row>
    <row r="1635" spans="12:12">
      <c r="L1635"/>
    </row>
  </sheetData>
  <mergeCells count="1">
    <mergeCell ref="E1:O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2026-07-21T06:11:34Z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